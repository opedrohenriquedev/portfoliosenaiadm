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URSO FERRAMENTAS DA QUALIDADE SÁBADO\"/>
    </mc:Choice>
  </mc:AlternateContent>
  <bookViews>
    <workbookView xWindow="0" yWindow="0" windowWidth="28800" windowHeight="12435"/>
  </bookViews>
  <sheets>
    <sheet name="1. Início" sheetId="1" r:id="rId1"/>
    <sheet name="2. Causa e Efeito" sheetId="2" r:id="rId2"/>
    <sheet name="3. Diagrama Espinha de Peixe " sheetId="3" r:id="rId3"/>
    <sheet name="4. Análise Gráfica" sheetId="4" r:id="rId4"/>
    <sheet name="5. Saiba Mais" sheetId="5" r:id="rId5"/>
  </sheets>
  <calcPr calcId="152511"/>
  <extLst>
    <ext uri="GoogleSheetsCustomDataVersion1">
      <go:sheetsCustomData xmlns:go="http://customooxmlschemas.google.com/" r:id="rId9" roundtripDataSignature="AMtx7mjRyaRbFZrHmS1WGhQh7+txWlFPQg=="/>
    </ext>
  </extLst>
</workbook>
</file>

<file path=xl/calcChain.xml><?xml version="1.0" encoding="utf-8"?>
<calcChain xmlns="http://schemas.openxmlformats.org/spreadsheetml/2006/main">
  <c r="C55" i="4" l="1"/>
  <c r="AC30" i="3"/>
  <c r="P30" i="3"/>
  <c r="C30" i="3"/>
  <c r="AD27" i="3"/>
  <c r="Q27" i="3"/>
  <c r="D27" i="3"/>
  <c r="AE24" i="3"/>
  <c r="R24" i="3"/>
  <c r="E24" i="3"/>
  <c r="AF21" i="3"/>
  <c r="S21" i="3"/>
  <c r="F21" i="3"/>
  <c r="AF17" i="3"/>
  <c r="R17" i="3"/>
  <c r="E17" i="3"/>
  <c r="AE14" i="3"/>
  <c r="Q14" i="3"/>
  <c r="D14" i="3"/>
  <c r="AC11" i="3"/>
  <c r="O11" i="3"/>
  <c r="C11" i="3"/>
  <c r="AA8" i="3"/>
  <c r="M8" i="3"/>
  <c r="B8" i="3"/>
  <c r="I23" i="2"/>
  <c r="C58" i="4" s="1"/>
  <c r="F23" i="2"/>
  <c r="C57" i="4" s="1"/>
  <c r="C23" i="2"/>
  <c r="C56" i="4" s="1"/>
  <c r="I15" i="2"/>
  <c r="F15" i="2"/>
  <c r="C54" i="4" s="1"/>
  <c r="C15" i="2"/>
  <c r="C53" i="4" s="1"/>
  <c r="C59" i="4" l="1"/>
</calcChain>
</file>

<file path=xl/comments1.xml><?xml version="1.0" encoding="utf-8"?>
<comments xmlns="http://schemas.openxmlformats.org/spreadsheetml/2006/main">
  <authors>
    <author/>
  </authors>
  <commentList>
    <comment ref="C3" authorId="0" shapeId="0">
      <text>
        <r>
          <rPr>
            <sz val="11"/>
            <color theme="1"/>
            <rFont val="Calibri"/>
          </rPr>
          <t>======
ID#AAAAMVVfdG8
Rafael Vianna Ávila    (2021-05-13 13:40:03)
Em todas as abas você encontrará uma numeração para te ajudar na ordem de preenchimento/leitura.
Basta seguir a numeração para ter um entendimento completo da planilha. Nessa aba, começamos pelo "1 Para que serve a planilha Diagrama de Ishikawa e depois vamos para o "2. Como usar cada aba"</t>
        </r>
      </text>
    </comment>
    <comment ref="B4" authorId="0" shapeId="0">
      <text>
        <r>
          <rPr>
            <sz val="11"/>
            <color theme="1"/>
            <rFont val="Calibri"/>
          </rPr>
          <t>======
ID#AAAAMVVfdHI
Rafael Vianna Ávila    (2021-05-13 13:40:03)
Navegue pelas abas clicando nos botões com os nomes das próprias abas (2. Causa e Efeitos) ou na guia inferior na parte debaixo da planilha.
Recomendamos que você preencha a planilha seguindo a ordem numérica crescente das abas</t>
        </r>
      </text>
    </comment>
    <comment ref="H35" authorId="0" shapeId="0">
      <text>
        <r>
          <rPr>
            <sz val="11"/>
            <color theme="1"/>
            <rFont val="Calibri"/>
          </rPr>
          <t>======
ID#AAAAMVVfdHg
Rafael Vianna Ávila    (2021-05-13 13:40:03)
Para começar a navegar na planilha, basta usar os botões azuis na linha da "Guia de Páginas".
Já leu as nossas dicas iniciais? Então vamos para o botão Causa e Efeito. Te espero na próxima aba...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DK4Uo82Wh338fwcbxH4AAxc40lw=="/>
    </ext>
  </extLst>
</comments>
</file>

<file path=xl/comments2.xml><?xml version="1.0" encoding="utf-8"?>
<comments xmlns="http://schemas.openxmlformats.org/spreadsheetml/2006/main">
  <authors>
    <author/>
  </authors>
  <commentList>
    <comment ref="B6" authorId="0" shapeId="0">
      <text>
        <r>
          <rPr>
            <sz val="11"/>
            <color theme="1"/>
            <rFont val="Calibri"/>
          </rPr>
          <t>======
ID#AAAAMVVfdHE
Descreva de forma breve um problema (efeito) que a sua empresa quer resolver. Por exemplo    (2021-05-13 13:40:03)
1 - Receitas caindo
2 - Aumento de insatisfação de clientes
3 - Problemas recorrentes com equipamentos
4 - Excesso de pedidos de demissão
Existem diversos outros problemas e cada empresa tem os seus próprios. Lembre-se de anotar de forma breve qual é esse efeito (negativo) que a sua empresa quer resolver.</t>
        </r>
      </text>
    </comment>
    <comment ref="B9" authorId="0" shapeId="0">
      <text>
        <r>
          <rPr>
            <sz val="11"/>
            <color theme="1"/>
            <rFont val="Calibri"/>
          </rPr>
          <t>======
ID#AAAAMVVfdHQ
Rafael Vianna Ávila    (2021-05-13 13:40:03)
Toda causa que envolve o material que estava sendo utilizado no trabalho</t>
        </r>
      </text>
    </comment>
    <comment ref="E9" authorId="0" shapeId="0">
      <text>
        <r>
          <rPr>
            <sz val="11"/>
            <color theme="1"/>
            <rFont val="Calibri"/>
          </rPr>
          <t>======
ID#AAAAMVVfdHY
Rafael Vianna Ávila    (2021-05-13 13:40:03)
Toda a causa envolvendo o método que estava sendo executado o trabalho.</t>
        </r>
      </text>
    </comment>
    <comment ref="H9" authorId="0" shapeId="0">
      <text>
        <r>
          <rPr>
            <sz val="11"/>
            <color theme="1"/>
            <rFont val="Calibri"/>
          </rPr>
          <t>======
ID#AAAAMVVfdGw
Rafael Vianna Ávila    (2021-05-13 13:40:03)
Toda causa que envolve uma atitude do colaborador (ex: procedimento inadequado, pressa, imprudência, ato inseguro, etc.)</t>
        </r>
      </text>
    </comment>
    <comment ref="C10" authorId="0" shapeId="0">
      <text>
        <r>
          <rPr>
            <sz val="11"/>
            <color theme="1"/>
            <rFont val="Calibri"/>
          </rPr>
          <t>======
ID#AAAAMVVfdG0
Rafael Vianna Ávila    (2021-05-13 13:40:03)
Atribua uma nota de 0 a 10 para essa causa, onde 10 é uma causa com muito impacto no problema e 0 é uma causa sem impacto no problema</t>
        </r>
      </text>
    </comment>
    <comment ref="B17" authorId="0" shapeId="0">
      <text>
        <r>
          <rPr>
            <sz val="11"/>
            <color theme="1"/>
            <rFont val="Calibri"/>
          </rPr>
          <t>======
ID#AAAAMVVfdHU
Rafael Vianna Ávila    (2021-05-13 13:40:03)
Toda causa envolvendo á máquina que estava sendo operada</t>
        </r>
      </text>
    </comment>
    <comment ref="E17" authorId="0" shapeId="0">
      <text>
        <r>
          <rPr>
            <sz val="11"/>
            <color theme="1"/>
            <rFont val="Calibri"/>
          </rPr>
          <t>======
ID#AAAAMVVfdHA
Rafael Vianna Ávila    (2021-05-13 13:40:03)
Toda causa que envolve o meio ambiente em si (poluição, calor, poeira, etc.) e o ambiente de trabalho (layout, falta de espaço, dimensionamento inadequado dos equipamentos, etc.)</t>
        </r>
      </text>
    </comment>
    <comment ref="H17" authorId="0" shapeId="0">
      <text>
        <r>
          <rPr>
            <sz val="11"/>
            <color theme="1"/>
            <rFont val="Calibri"/>
          </rPr>
          <t>======
ID#AAAAMVVfdHc
Rafael Vianna Ávila    (2021-05-13 13:40:03)
Toda causa que envolve os instrumentos de medida, sua calibração, a efetividade de indicadores em mostrar as variações de resultado, se o acompanhamento está sendo realizado, se ocorre na frequência necessária etc.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nsHSsmVn5Z47rXz+4uhqCDm8PPg=="/>
    </ext>
  </extLst>
</comments>
</file>

<file path=xl/comments3.xml><?xml version="1.0" encoding="utf-8"?>
<comments xmlns="http://schemas.openxmlformats.org/spreadsheetml/2006/main">
  <authors>
    <author/>
  </authors>
  <commentList>
    <comment ref="C3" authorId="0" shapeId="0">
      <text>
        <r>
          <rPr>
            <sz val="11"/>
            <color theme="1"/>
            <rFont val="Calibri"/>
          </rPr>
          <t>======
ID#AAAAMVVfdG4
Rafael Vianna Ávila    (2021-05-13 13:40:03)
Em todas as abas você encontrará uma numeração para te ajudar na ordem de preenchimento/leitura.
Basta seguir a numeração para ter um entendimento completo da planilha. Nessa aba, começamos pelo "1 Para que serve a planilha Diagrama de Ishikawa e depois vamos para o "2. Como usar cada aba"</t>
        </r>
      </text>
    </comment>
    <comment ref="B4" authorId="0" shapeId="0">
      <text>
        <r>
          <rPr>
            <sz val="11"/>
            <color theme="1"/>
            <rFont val="Calibri"/>
          </rPr>
          <t>======
ID#AAAAMVVfdHM
Rafael Vianna Ávila    (2021-05-13 13:40:03)
Navegue pelas abas clicando nos botões com os nomes das próprias abas (2. Causa e Efeitos) ou na guia inferior na parte debaixo da planilha.
Recomendamos que você preencha a planilha seguindo a ordem numérica crescente das abas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WfB726IwxAfVN10DOXzdQ38PNOQ=="/>
    </ext>
  </extLst>
</comments>
</file>

<file path=xl/sharedStrings.xml><?xml version="1.0" encoding="utf-8"?>
<sst xmlns="http://schemas.openxmlformats.org/spreadsheetml/2006/main" count="85" uniqueCount="34">
  <si>
    <t>Desenvolvido por:</t>
  </si>
  <si>
    <t>Planilha de Diagrama de Ishikawa</t>
  </si>
  <si>
    <t>GUIA DE PÁGINAS</t>
  </si>
  <si>
    <t>1. INÍCIO</t>
  </si>
  <si>
    <t>2. CAUSA E EFEITO</t>
  </si>
  <si>
    <t>3. DIAGRAMA ESPINHA DE PEIXE</t>
  </si>
  <si>
    <t>4. ANÁLISE GRÁFICA</t>
  </si>
  <si>
    <t>5. SAIBA MAIS</t>
  </si>
  <si>
    <t>Passe o mouse por cima das células com marcador vermelho</t>
  </si>
  <si>
    <t>Seu Problema (Efeito)</t>
  </si>
  <si>
    <t>Possíveis Causas relacionadas aos Materiais</t>
  </si>
  <si>
    <t>Possíveis Causas relacionadas aos Métodos</t>
  </si>
  <si>
    <t>Possíveis Causas relacionadas à Mão-de-obra</t>
  </si>
  <si>
    <t>Descrição</t>
  </si>
  <si>
    <t>Nota</t>
  </si>
  <si>
    <t>Média</t>
  </si>
  <si>
    <t xml:space="preserve">Média </t>
  </si>
  <si>
    <t>Possíveis Causas relacionadas às Máquinas (ou Equipamentos)</t>
  </si>
  <si>
    <t>Possíveis Causas relacionadas ao Meio Ambiente</t>
  </si>
  <si>
    <t>Possíveis Causas relacionadas à Medida</t>
  </si>
  <si>
    <t>Materiais</t>
  </si>
  <si>
    <t>Método</t>
  </si>
  <si>
    <t>Mão-de-obra</t>
  </si>
  <si>
    <t>Problema</t>
  </si>
  <si>
    <t>Matéria-prima</t>
  </si>
  <si>
    <t>Meio ambiente</t>
  </si>
  <si>
    <t>Medida</t>
  </si>
  <si>
    <t>Ranking Geral</t>
  </si>
  <si>
    <t xml:space="preserve">Materiais </t>
  </si>
  <si>
    <t>Meio Ambiente</t>
  </si>
  <si>
    <t>A planilha não atende às suas necessidades?</t>
  </si>
  <si>
    <t>Conheça alguns produtos complementares:</t>
  </si>
  <si>
    <t>Você precisa de ajuda para utilizar a planilha?</t>
  </si>
  <si>
    <t>Deixe um depoimento na página da planilha.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</si>
</sst>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4">
    <font>
      <sz val="11"/>
      <color theme="1"/>
      <name val="Calibri"/>
    </font>
    <font>
      <sz val="10"/>
      <color theme="1"/>
      <name val="Arial"/>
    </font>
    <font>
      <sz val="11"/>
      <color theme="0"/>
      <name val="Calibri"/>
    </font>
    <font>
      <b/>
      <sz val="22"/>
      <color rgb="FF7F7F7F"/>
      <name val="Calibri"/>
    </font>
    <font>
      <sz val="11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sz val="12"/>
      <color theme="1"/>
      <name val="Calibri"/>
    </font>
    <font>
      <b/>
      <sz val="18"/>
      <color rgb="FF1F497D"/>
      <name val="Calibri"/>
    </font>
    <font>
      <b/>
      <sz val="18"/>
      <color theme="1"/>
      <name val="Calibri"/>
    </font>
    <font>
      <sz val="12"/>
      <color theme="1"/>
      <name val="Verdana"/>
    </font>
    <font>
      <sz val="8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b/>
      <sz val="22"/>
      <color rgb="FF0F243E"/>
      <name val="Calibri"/>
    </font>
    <font>
      <sz val="11"/>
      <color theme="1"/>
      <name val="Verdana"/>
    </font>
    <font>
      <sz val="18"/>
      <color rgb="FF1F497D"/>
      <name val="Calibri"/>
    </font>
    <font>
      <sz val="22"/>
      <color theme="5"/>
      <name val="Calibri"/>
    </font>
    <font>
      <sz val="22"/>
      <color rgb="FF76923C"/>
      <name val="Calibri"/>
    </font>
    <font>
      <sz val="13"/>
      <color rgb="FF7F7F7F"/>
      <name val="Calibri"/>
    </font>
    <font>
      <sz val="20"/>
      <color rgb="FF7F7F7F"/>
      <name val="Calibri"/>
    </font>
    <font>
      <sz val="22"/>
      <color rgb="FF33CCCC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3CCCC"/>
        <bgColor rgb="FF33CCCC"/>
      </patternFill>
    </fill>
    <fill>
      <patternFill patternType="solid">
        <fgColor rgb="FF333399"/>
        <bgColor rgb="FF333399"/>
      </patternFill>
    </fill>
    <fill>
      <patternFill patternType="solid">
        <fgColor rgb="FFDBE5F1"/>
        <bgColor rgb="FFDBE5F1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0" fillId="2" borderId="1" xfId="0" applyFont="1" applyFill="1" applyBorder="1" applyAlignment="1">
      <alignment horizontal="left" vertical="center"/>
    </xf>
    <xf numFmtId="0" fontId="1" fillId="0" borderId="0" xfId="0" applyFont="1"/>
    <xf numFmtId="0" fontId="0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/>
    <xf numFmtId="0" fontId="1" fillId="2" borderId="1" xfId="0" applyFont="1" applyFill="1" applyBorder="1" applyAlignment="1"/>
    <xf numFmtId="0" fontId="1" fillId="2" borderId="7" xfId="0" applyFont="1" applyFill="1" applyBorder="1" applyAlignment="1"/>
    <xf numFmtId="0" fontId="5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0" fillId="0" borderId="0" xfId="0" applyFont="1" applyAlignment="1"/>
    <xf numFmtId="0" fontId="5" fillId="5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5" fillId="5" borderId="7" xfId="0" applyNumberFormat="1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/>
    <xf numFmtId="0" fontId="11" fillId="0" borderId="0" xfId="0" applyFont="1" applyAlignment="1"/>
    <xf numFmtId="0" fontId="10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0" fontId="13" fillId="0" borderId="0" xfId="0" applyFont="1" applyAlignment="1">
      <alignment horizont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 applyAlignment="1">
      <alignment vertical="center" wrapText="1"/>
    </xf>
    <xf numFmtId="0" fontId="18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/>
    <xf numFmtId="0" fontId="1" fillId="2" borderId="1" xfId="0" applyFont="1" applyFill="1" applyBorder="1" applyAlignment="1">
      <alignment wrapText="1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2" fillId="4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6" xfId="0" applyFont="1" applyBorder="1"/>
    <xf numFmtId="0" fontId="1" fillId="2" borderId="5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 vertical="center"/>
    </xf>
    <xf numFmtId="0" fontId="4" fillId="0" borderId="19" xfId="0" applyFont="1" applyBorder="1"/>
    <xf numFmtId="0" fontId="7" fillId="3" borderId="18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6" fillId="5" borderId="10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0" fillId="2" borderId="11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2" fillId="3" borderId="2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17" fillId="5" borderId="11" xfId="0" applyFont="1" applyFill="1" applyBorder="1" applyAlignment="1">
      <alignment horizontal="center" vertical="center" wrapText="1"/>
    </xf>
    <xf numFmtId="0" fontId="4" fillId="0" borderId="26" xfId="0" applyFont="1" applyBorder="1"/>
    <xf numFmtId="0" fontId="4" fillId="0" borderId="27" xfId="0" applyFont="1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9" fillId="2" borderId="2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center" vertical="top" wrapText="1"/>
    </xf>
    <xf numFmtId="0" fontId="21" fillId="2" borderId="2" xfId="0" applyFont="1" applyFill="1" applyBorder="1" applyAlignment="1">
      <alignment horizontal="center" vertical="top" wrapText="1"/>
    </xf>
    <xf numFmtId="0" fontId="22" fillId="2" borderId="2" xfId="0" applyFont="1" applyFill="1" applyBorder="1" applyAlignment="1">
      <alignment horizontal="center" vertical="top" wrapText="1"/>
    </xf>
    <xf numFmtId="0" fontId="23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DBE5F1"/>
      </font>
      <fill>
        <patternFill patternType="solid">
          <fgColor rgb="FFDBE5F1"/>
          <bgColor rgb="FFDB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Materiais
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'2. Causa e Efeito'!$C$10</c:f>
              <c:strCache>
                <c:ptCount val="1"/>
                <c:pt idx="0">
                  <c:v>Nota</c:v>
                </c:pt>
              </c:strCache>
            </c:strRef>
          </c:tx>
          <c:invertIfNegative val="1"/>
          <c:cat>
            <c:strRef>
              <c:f>'2. Causa e Efeito'!$B$11:$B$15</c:f>
              <c:strCache>
                <c:ptCount val="5"/>
                <c:pt idx="4">
                  <c:v>Média</c:v>
                </c:pt>
              </c:strCache>
            </c:strRef>
          </c:cat>
          <c:val>
            <c:numRef>
              <c:f>'2. Causa e Efeito'!$C$11:$C$15</c:f>
              <c:numCache>
                <c:formatCode>General</c:formatCode>
                <c:ptCount val="5"/>
                <c:pt idx="4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219112"/>
        <c:axId val="271213232"/>
      </c:barChart>
      <c:catAx>
        <c:axId val="271219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71213232"/>
        <c:crosses val="autoZero"/>
        <c:auto val="1"/>
        <c:lblAlgn val="ctr"/>
        <c:lblOffset val="100"/>
        <c:noMultiLvlLbl val="1"/>
      </c:catAx>
      <c:valAx>
        <c:axId val="27121323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712191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Método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'2. Causa e Efeito'!$E$11:$E$15</c:f>
              <c:strCache>
                <c:ptCount val="5"/>
                <c:pt idx="4">
                  <c:v>Média </c:v>
                </c:pt>
              </c:strCache>
            </c:strRef>
          </c:cat>
          <c:val>
            <c:numRef>
              <c:f>'2. Causa e Efeito'!$F$11:$F$15</c:f>
              <c:numCache>
                <c:formatCode>General</c:formatCode>
                <c:ptCount val="5"/>
                <c:pt idx="4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217544"/>
        <c:axId val="271212448"/>
      </c:barChart>
      <c:catAx>
        <c:axId val="271217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71212448"/>
        <c:crosses val="autoZero"/>
        <c:auto val="1"/>
        <c:lblAlgn val="ctr"/>
        <c:lblOffset val="100"/>
        <c:noMultiLvlLbl val="1"/>
      </c:catAx>
      <c:valAx>
        <c:axId val="27121244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7121754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Mão-de-obra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'2. Causa e Efeito'!$H$11:$H$15</c:f>
              <c:strCache>
                <c:ptCount val="5"/>
                <c:pt idx="4">
                  <c:v>Média </c:v>
                </c:pt>
              </c:strCache>
            </c:strRef>
          </c:cat>
          <c:val>
            <c:numRef>
              <c:f>'2. Causa e Efeito'!$I$11:$I$15</c:f>
              <c:numCache>
                <c:formatCode>General</c:formatCode>
                <c:ptCount val="5"/>
                <c:pt idx="4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211664"/>
        <c:axId val="271217152"/>
      </c:barChart>
      <c:catAx>
        <c:axId val="271211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71217152"/>
        <c:crosses val="autoZero"/>
        <c:auto val="1"/>
        <c:lblAlgn val="ctr"/>
        <c:lblOffset val="100"/>
        <c:noMultiLvlLbl val="1"/>
      </c:catAx>
      <c:valAx>
        <c:axId val="27121715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7121166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Matéria-prima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'2. Causa e Efeito'!$B$19:$B$23</c:f>
              <c:strCache>
                <c:ptCount val="5"/>
                <c:pt idx="4">
                  <c:v>Média</c:v>
                </c:pt>
              </c:strCache>
            </c:strRef>
          </c:cat>
          <c:val>
            <c:numRef>
              <c:f>'2. Causa e Efeito'!$C$19:$C$23</c:f>
              <c:numCache>
                <c:formatCode>General</c:formatCode>
                <c:ptCount val="5"/>
                <c:pt idx="4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1215976"/>
        <c:axId val="268345704"/>
      </c:barChart>
      <c:catAx>
        <c:axId val="271215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268345704"/>
        <c:crosses val="autoZero"/>
        <c:auto val="1"/>
        <c:lblAlgn val="ctr"/>
        <c:lblOffset val="100"/>
        <c:noMultiLvlLbl val="1"/>
      </c:catAx>
      <c:valAx>
        <c:axId val="26834570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7121597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Meio Ambiente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'2. Causa e Efeito'!$E$19:$E$23</c:f>
              <c:strCache>
                <c:ptCount val="5"/>
                <c:pt idx="4">
                  <c:v>Média</c:v>
                </c:pt>
              </c:strCache>
            </c:strRef>
          </c:cat>
          <c:val>
            <c:numRef>
              <c:f>'2. Causa e Efeito'!$F$19:$F$23</c:f>
              <c:numCache>
                <c:formatCode>General</c:formatCode>
                <c:ptCount val="5"/>
                <c:pt idx="4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060024"/>
        <c:axId val="307067080"/>
      </c:barChart>
      <c:catAx>
        <c:axId val="307060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07067080"/>
        <c:crosses val="autoZero"/>
        <c:auto val="1"/>
        <c:lblAlgn val="ctr"/>
        <c:lblOffset val="100"/>
        <c:noMultiLvlLbl val="1"/>
      </c:catAx>
      <c:valAx>
        <c:axId val="30706708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07060024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333333"/>
                </a:solidFill>
                <a:latin typeface="+mn-lt"/>
              </a:defRPr>
            </a:pPr>
            <a:r>
              <a:rPr sz="1400" b="0" i="0">
                <a:solidFill>
                  <a:srgbClr val="333333"/>
                </a:solidFill>
                <a:latin typeface="+mn-lt"/>
              </a:rPr>
              <a:t>Medida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'2. Causa e Efeito'!$H$19:$H$23</c:f>
              <c:strCache>
                <c:ptCount val="5"/>
                <c:pt idx="4">
                  <c:v>Média</c:v>
                </c:pt>
              </c:strCache>
            </c:strRef>
          </c:cat>
          <c:val>
            <c:numRef>
              <c:f>'2. Causa e Efeito'!$I$19:$I$23</c:f>
              <c:numCache>
                <c:formatCode>General</c:formatCode>
                <c:ptCount val="5"/>
                <c:pt idx="4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065120"/>
        <c:axId val="307060416"/>
      </c:barChart>
      <c:catAx>
        <c:axId val="307065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07060416"/>
        <c:crosses val="autoZero"/>
        <c:auto val="1"/>
        <c:lblAlgn val="ctr"/>
        <c:lblOffset val="100"/>
        <c:noMultiLvlLbl val="1"/>
      </c:catAx>
      <c:valAx>
        <c:axId val="307060416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07065120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'4. Análise Gráfica'!$B$52</c:f>
              <c:strCache>
                <c:ptCount val="1"/>
              </c:strCache>
            </c:strRef>
          </c:tx>
          <c:invertIfNegative val="1"/>
          <c:cat>
            <c:strRef>
              <c:f>'4. Análise Gráfica'!$A$53:$A$59</c:f>
              <c:strCache>
                <c:ptCount val="7"/>
                <c:pt idx="0">
                  <c:v>Materiais </c:v>
                </c:pt>
                <c:pt idx="1">
                  <c:v>Método</c:v>
                </c:pt>
                <c:pt idx="2">
                  <c:v>Mão-de-obra</c:v>
                </c:pt>
                <c:pt idx="3">
                  <c:v>Matéria-prima</c:v>
                </c:pt>
                <c:pt idx="4">
                  <c:v>Meio Ambiente</c:v>
                </c:pt>
                <c:pt idx="5">
                  <c:v>Medida</c:v>
                </c:pt>
                <c:pt idx="6">
                  <c:v>Média</c:v>
                </c:pt>
              </c:strCache>
            </c:strRef>
          </c:cat>
          <c:val>
            <c:numRef>
              <c:f>'4. Análise Gráfica'!$B$53:$B$59</c:f>
              <c:numCache>
                <c:formatCode>General</c:formatCode>
                <c:ptCount val="7"/>
              </c:numCache>
            </c:numRef>
          </c:val>
        </c:ser>
        <c:ser>
          <c:idx val="1"/>
          <c:order val="1"/>
          <c:tx>
            <c:strRef>
              <c:f>'4. Análise Gráfica'!$C$52</c:f>
              <c:strCache>
                <c:ptCount val="1"/>
                <c:pt idx="0">
                  <c:v>Ranking Geral</c:v>
                </c:pt>
              </c:strCache>
            </c:strRef>
          </c:tx>
          <c:invertIfNegative val="1"/>
          <c:cat>
            <c:strRef>
              <c:f>'4. Análise Gráfica'!$A$53:$A$59</c:f>
              <c:strCache>
                <c:ptCount val="7"/>
                <c:pt idx="0">
                  <c:v>Materiais </c:v>
                </c:pt>
                <c:pt idx="1">
                  <c:v>Método</c:v>
                </c:pt>
                <c:pt idx="2">
                  <c:v>Mão-de-obra</c:v>
                </c:pt>
                <c:pt idx="3">
                  <c:v>Matéria-prima</c:v>
                </c:pt>
                <c:pt idx="4">
                  <c:v>Meio Ambiente</c:v>
                </c:pt>
                <c:pt idx="5">
                  <c:v>Medida</c:v>
                </c:pt>
                <c:pt idx="6">
                  <c:v>Média</c:v>
                </c:pt>
              </c:strCache>
            </c:strRef>
          </c:cat>
          <c:val>
            <c:numRef>
              <c:f>'4. Análise Gráfica'!$C$53:$C$59</c:f>
              <c:numCache>
                <c:formatCode>0.0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067472"/>
        <c:axId val="307061984"/>
      </c:barChart>
      <c:catAx>
        <c:axId val="307067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pt-BR"/>
          </a:p>
        </c:txPr>
        <c:crossAx val="307061984"/>
        <c:crosses val="autoZero"/>
        <c:auto val="1"/>
        <c:lblAlgn val="ctr"/>
        <c:lblOffset val="100"/>
        <c:noMultiLvlLbl val="1"/>
      </c:catAx>
      <c:valAx>
        <c:axId val="30706198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30706747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jpg"/><Relationship Id="rId1" Type="http://schemas.openxmlformats.org/officeDocument/2006/relationships/image" Target="../media/image4.jpg"/><Relationship Id="rId5" Type="http://schemas.openxmlformats.org/officeDocument/2006/relationships/image" Target="../media/image7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6</xdr:row>
      <xdr:rowOff>0</xdr:rowOff>
    </xdr:from>
    <xdr:ext cx="5353050" cy="4438650"/>
    <xdr:sp macro="" textlink="">
      <xdr:nvSpPr>
        <xdr:cNvPr id="3" name="Shape 3"/>
        <xdr:cNvSpPr/>
      </xdr:nvSpPr>
      <xdr:spPr>
        <a:xfrm>
          <a:off x="2674238" y="1565438"/>
          <a:ext cx="5343525" cy="4429125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1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2. Como usar cada aba: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Aba 1: Causa e Efeito </a:t>
          </a: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- Nessa aba você irá preencher qual o problema (efeito) que mais afeta a sua empresa e que você quer buscar uma solução. Depois disso preencherá as principais causas que ocasionam esse problema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i="0" u="none" strike="noStrike">
            <a:solidFill>
              <a:srgbClr val="80808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Aba 2: Diagrama Espinha de Peixe</a:t>
          </a: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 - Nessa aba você irá visualizar </a:t>
          </a:r>
          <a:r>
            <a:rPr lang="en-US" sz="1400" b="1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automaticamente</a:t>
          </a: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 o diagrama espinha de peixe relacionado ao que você preencheu.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i="0" u="none" strike="noStrike">
            <a:solidFill>
              <a:srgbClr val="80808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Aba 3: Análise Gráfica </a:t>
          </a: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- Aqui você verá gráficos relacionados às principais causas que você marcou na primeira aba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i="0" u="none" strike="noStrike">
            <a:solidFill>
              <a:srgbClr val="80808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Tutorial: </a:t>
          </a: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 Em diversas células da planilha você terá explicações que vão deixar o preenchimento dela muito mais fácil e prático. Preste atenção nas células com um marcador vermelho, como essa aqui embaixo, basta passar o mouse por cima dela e ler várias dicas para tornar o uso da planilha ainda mais fácil...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i="0" u="none" strike="noStrike">
            <a:solidFill>
              <a:srgbClr val="80808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19050</xdr:colOff>
      <xdr:row>4</xdr:row>
      <xdr:rowOff>38100</xdr:rowOff>
    </xdr:from>
    <xdr:ext cx="12458700" cy="5686425"/>
    <xdr:sp macro="" textlink="">
      <xdr:nvSpPr>
        <xdr:cNvPr id="4" name="Shape 4"/>
        <xdr:cNvSpPr/>
      </xdr:nvSpPr>
      <xdr:spPr>
        <a:xfrm>
          <a:off x="0" y="946313"/>
          <a:ext cx="10692000" cy="566737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3975" y="60000"/>
              </a:moveTo>
              <a:lnTo>
                <a:pt x="3975" y="60000"/>
              </a:lnTo>
              <a:cubicBezTo>
                <a:pt x="3975" y="36415"/>
                <a:pt x="20759" y="15724"/>
                <a:pt x="45010" y="9414"/>
              </a:cubicBezTo>
              <a:cubicBezTo>
                <a:pt x="69261" y="3104"/>
                <a:pt x="95026" y="12722"/>
                <a:pt x="108003" y="32931"/>
              </a:cubicBezTo>
              <a:lnTo>
                <a:pt x="109530" y="32931"/>
              </a:lnTo>
              <a:lnTo>
                <a:pt x="112049" y="60000"/>
              </a:lnTo>
              <a:lnTo>
                <a:pt x="93628" y="32931"/>
              </a:lnTo>
              <a:lnTo>
                <a:pt x="93270" y="32931"/>
              </a:lnTo>
              <a:lnTo>
                <a:pt x="93270" y="32931"/>
              </a:lnTo>
              <a:cubicBezTo>
                <a:pt x="79367" y="22534"/>
                <a:pt x="58851" y="19612"/>
                <a:pt x="41136" y="25508"/>
              </a:cubicBezTo>
              <a:cubicBezTo>
                <a:pt x="23421" y="31403"/>
                <a:pt x="11926" y="44976"/>
                <a:pt x="11926" y="60000"/>
              </a:cubicBezTo>
              <a:close/>
            </a:path>
          </a:pathLst>
        </a:custGeom>
        <a:noFill/>
        <a:ln w="19050" cap="flat" cmpd="sng">
          <a:solidFill>
            <a:srgbClr val="3382D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-</a:t>
          </a:r>
          <a:endParaRPr sz="1400"/>
        </a:p>
      </xdr:txBody>
    </xdr:sp>
    <xdr:clientData fLocksWithSheet="0"/>
  </xdr:oneCellAnchor>
  <xdr:oneCellAnchor>
    <xdr:from>
      <xdr:col>5</xdr:col>
      <xdr:colOff>895350</xdr:colOff>
      <xdr:row>4</xdr:row>
      <xdr:rowOff>0</xdr:rowOff>
    </xdr:from>
    <xdr:ext cx="38100" cy="5667375"/>
    <xdr:grpSp>
      <xdr:nvGrpSpPr>
        <xdr:cNvPr id="2" name="Shape 2"/>
        <xdr:cNvGrpSpPr/>
      </xdr:nvGrpSpPr>
      <xdr:grpSpPr>
        <a:xfrm>
          <a:off x="6858000" y="1362075"/>
          <a:ext cx="38100" cy="5667375"/>
          <a:chOff x="5346000" y="946313"/>
          <a:chExt cx="0" cy="5667375"/>
        </a:xfrm>
      </xdr:grpSpPr>
      <xdr:cxnSp macro="">
        <xdr:nvCxnSpPr>
          <xdr:cNvPr id="5" name="Shape 5"/>
          <xdr:cNvCxnSpPr/>
        </xdr:nvCxnSpPr>
        <xdr:spPr>
          <a:xfrm>
            <a:off x="5346000" y="946313"/>
            <a:ext cx="0" cy="5667375"/>
          </a:xfrm>
          <a:prstGeom prst="straightConnector1">
            <a:avLst/>
          </a:prstGeom>
          <a:noFill/>
          <a:ln w="25400" cap="flat" cmpd="sng">
            <a:solidFill>
              <a:srgbClr val="3382D1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285750</xdr:colOff>
      <xdr:row>5</xdr:row>
      <xdr:rowOff>95250</xdr:rowOff>
    </xdr:from>
    <xdr:ext cx="5829300" cy="5086350"/>
    <xdr:sp macro="" textlink="">
      <xdr:nvSpPr>
        <xdr:cNvPr id="6" name="Shape 6"/>
        <xdr:cNvSpPr/>
      </xdr:nvSpPr>
      <xdr:spPr>
        <a:xfrm>
          <a:off x="2436113" y="1241588"/>
          <a:ext cx="5819775" cy="5076825"/>
        </a:xfrm>
        <a:prstGeom prst="roundRect">
          <a:avLst>
            <a:gd name="adj" fmla="val 16667"/>
          </a:avLst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1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1. Para que serve a Planilha Diagrama de Ishikawa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 i="1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 (Causa e Efeito)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 i="0" u="none" strike="noStrike">
            <a:solidFill>
              <a:srgbClr val="80808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A Planilha Diagrama de Ishikawa (também conhecida por Diagrama de Causa e Efeito, Diagrama Espinha de Peixe ou Diagrama 6M) é a ferramenta perfeita para você identificar os principais problemas que te incomodam e pesquisar a fundo suas principais causas.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 i="0" u="none" strike="noStrike">
            <a:solidFill>
              <a:srgbClr val="80808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Baseado na sua análise, você poderá conseguir pensar em planos de ação e medidas para contornar porblemas da sua empresa.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600" i="0" u="none" strike="noStrike">
            <a:solidFill>
              <a:srgbClr val="808080"/>
            </a:solidFill>
            <a:latin typeface="Calibri"/>
            <a:ea typeface="Calibri"/>
            <a:cs typeface="Calibri"/>
            <a:sym typeface="Calibri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A planilha está organizada em 3 abas: (2) Causa e Efeito, (3) Diagrama Espinha de Peixe e (4) Análise Gráfica</a:t>
          </a:r>
          <a:endParaRPr sz="1400"/>
        </a:p>
      </xdr:txBody>
    </xdr:sp>
    <xdr:clientData fLocksWithSheet="0"/>
  </xdr:oneCellAnchor>
  <xdr:oneCellAnchor>
    <xdr:from>
      <xdr:col>1</xdr:col>
      <xdr:colOff>1209675</xdr:colOff>
      <xdr:row>1</xdr:row>
      <xdr:rowOff>0</xdr:rowOff>
    </xdr:from>
    <xdr:ext cx="0" cy="314325"/>
    <xdr:pic>
      <xdr:nvPicPr>
        <xdr:cNvPr id="7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2</xdr:row>
      <xdr:rowOff>104775</xdr:rowOff>
    </xdr:from>
    <xdr:ext cx="1190625" cy="381000"/>
    <xdr:pic>
      <xdr:nvPicPr>
        <xdr:cNvPr id="8" name="image1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1209675</xdr:colOff>
      <xdr:row>1</xdr:row>
      <xdr:rowOff>0</xdr:rowOff>
    </xdr:from>
    <xdr:ext cx="0" cy="3238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1209675</xdr:colOff>
      <xdr:row>1</xdr:row>
      <xdr:rowOff>0</xdr:rowOff>
    </xdr:from>
    <xdr:ext cx="0" cy="32385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19</xdr:row>
      <xdr:rowOff>-19050</xdr:rowOff>
    </xdr:from>
    <xdr:ext cx="11896725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 macro="">
        <xdr:nvCxnSpPr>
          <xdr:cNvPr id="7" name="Shape 7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w="381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161925</xdr:colOff>
      <xdr:row>6</xdr:row>
      <xdr:rowOff>142875</xdr:rowOff>
    </xdr:from>
    <xdr:ext cx="1952625" cy="2524125"/>
    <xdr:grpSp>
      <xdr:nvGrpSpPr>
        <xdr:cNvPr id="3" name="Shape 2"/>
        <xdr:cNvGrpSpPr/>
      </xdr:nvGrpSpPr>
      <xdr:grpSpPr>
        <a:xfrm>
          <a:off x="4379213" y="2527463"/>
          <a:ext cx="1933575" cy="2505075"/>
          <a:chOff x="4379213" y="2527463"/>
          <a:chExt cx="1933575" cy="2505075"/>
        </a:xfrm>
      </xdr:grpSpPr>
      <xdr:cxnSp macro="">
        <xdr:nvCxnSpPr>
          <xdr:cNvPr id="8" name="Shape 8"/>
          <xdr:cNvCxnSpPr/>
        </xdr:nvCxnSpPr>
        <xdr:spPr>
          <a:xfrm>
            <a:off x="4379213" y="2527463"/>
            <a:ext cx="1933575" cy="25050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-9525</xdr:colOff>
      <xdr:row>7</xdr:row>
      <xdr:rowOff>-9525</xdr:rowOff>
    </xdr:from>
    <xdr:ext cx="1952625" cy="2533650"/>
    <xdr:grpSp>
      <xdr:nvGrpSpPr>
        <xdr:cNvPr id="4" name="Shape 2"/>
        <xdr:cNvGrpSpPr/>
      </xdr:nvGrpSpPr>
      <xdr:grpSpPr>
        <a:xfrm>
          <a:off x="4379213" y="2522700"/>
          <a:ext cx="1933575" cy="2514600"/>
          <a:chOff x="4379213" y="2522700"/>
          <a:chExt cx="1933575" cy="2514600"/>
        </a:xfrm>
      </xdr:grpSpPr>
      <xdr:cxnSp macro="">
        <xdr:nvCxnSpPr>
          <xdr:cNvPr id="9" name="Shape 9"/>
          <xdr:cNvCxnSpPr/>
        </xdr:nvCxnSpPr>
        <xdr:spPr>
          <a:xfrm>
            <a:off x="4379213" y="2522700"/>
            <a:ext cx="1933575" cy="2514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-9525</xdr:colOff>
      <xdr:row>7</xdr:row>
      <xdr:rowOff>-9525</xdr:rowOff>
    </xdr:from>
    <xdr:ext cx="1952625" cy="2533650"/>
    <xdr:grpSp>
      <xdr:nvGrpSpPr>
        <xdr:cNvPr id="5" name="Shape 2"/>
        <xdr:cNvGrpSpPr/>
      </xdr:nvGrpSpPr>
      <xdr:grpSpPr>
        <a:xfrm>
          <a:off x="4379213" y="2522700"/>
          <a:ext cx="1933575" cy="2514600"/>
          <a:chOff x="4379213" y="2522700"/>
          <a:chExt cx="1933575" cy="2514600"/>
        </a:xfrm>
      </xdr:grpSpPr>
      <xdr:cxnSp macro="">
        <xdr:nvCxnSpPr>
          <xdr:cNvPr id="6" name="Shape 9"/>
          <xdr:cNvCxnSpPr/>
        </xdr:nvCxnSpPr>
        <xdr:spPr>
          <a:xfrm>
            <a:off x="4379213" y="2522700"/>
            <a:ext cx="1933575" cy="2514600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276225</xdr:colOff>
      <xdr:row>19</xdr:row>
      <xdr:rowOff>-9525</xdr:rowOff>
    </xdr:from>
    <xdr:ext cx="1952625" cy="2943225"/>
    <xdr:grpSp>
      <xdr:nvGrpSpPr>
        <xdr:cNvPr id="10" name="Shape 2"/>
        <xdr:cNvGrpSpPr/>
      </xdr:nvGrpSpPr>
      <xdr:grpSpPr>
        <a:xfrm>
          <a:off x="4379213" y="2317913"/>
          <a:ext cx="1933575" cy="2924175"/>
          <a:chOff x="4379213" y="2317913"/>
          <a:chExt cx="1933575" cy="2924175"/>
        </a:xfrm>
      </xdr:grpSpPr>
      <xdr:cxnSp macro="">
        <xdr:nvCxnSpPr>
          <xdr:cNvPr id="11" name="Shape 10"/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-9525</xdr:colOff>
      <xdr:row>19</xdr:row>
      <xdr:rowOff>-9525</xdr:rowOff>
    </xdr:from>
    <xdr:ext cx="1952625" cy="2943225"/>
    <xdr:grpSp>
      <xdr:nvGrpSpPr>
        <xdr:cNvPr id="12" name="Shape 2"/>
        <xdr:cNvGrpSpPr/>
      </xdr:nvGrpSpPr>
      <xdr:grpSpPr>
        <a:xfrm>
          <a:off x="4379213" y="2317913"/>
          <a:ext cx="1933575" cy="2924175"/>
          <a:chOff x="4379213" y="2317913"/>
          <a:chExt cx="1933575" cy="2924175"/>
        </a:xfrm>
      </xdr:grpSpPr>
      <xdr:cxnSp macro="">
        <xdr:nvCxnSpPr>
          <xdr:cNvPr id="13" name="Shape 10"/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-9525</xdr:colOff>
      <xdr:row>19</xdr:row>
      <xdr:rowOff>-9525</xdr:rowOff>
    </xdr:from>
    <xdr:ext cx="1952625" cy="2943225"/>
    <xdr:grpSp>
      <xdr:nvGrpSpPr>
        <xdr:cNvPr id="14" name="Shape 2"/>
        <xdr:cNvGrpSpPr/>
      </xdr:nvGrpSpPr>
      <xdr:grpSpPr>
        <a:xfrm>
          <a:off x="4379213" y="2317913"/>
          <a:ext cx="1933575" cy="2924175"/>
          <a:chOff x="4379213" y="2317913"/>
          <a:chExt cx="1933575" cy="2924175"/>
        </a:xfrm>
      </xdr:grpSpPr>
      <xdr:cxnSp macro="">
        <xdr:nvCxnSpPr>
          <xdr:cNvPr id="15" name="Shape 10"/>
          <xdr:cNvCxnSpPr/>
        </xdr:nvCxnSpPr>
        <xdr:spPr>
          <a:xfrm flipH="1">
            <a:off x="4379213" y="2317913"/>
            <a:ext cx="1933575" cy="2924175"/>
          </a:xfrm>
          <a:prstGeom prst="straightConnector1">
            <a:avLst/>
          </a:prstGeom>
          <a:noFill/>
          <a:ln w="25400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33</xdr:col>
      <xdr:colOff>0</xdr:colOff>
      <xdr:row>8</xdr:row>
      <xdr:rowOff>-9525</xdr:rowOff>
    </xdr:from>
    <xdr:ext cx="666750" cy="38100"/>
    <xdr:grpSp>
      <xdr:nvGrpSpPr>
        <xdr:cNvPr id="16" name="Shape 2"/>
        <xdr:cNvGrpSpPr/>
      </xdr:nvGrpSpPr>
      <xdr:grpSpPr>
        <a:xfrm>
          <a:off x="5012625" y="3780000"/>
          <a:ext cx="666750" cy="0"/>
          <a:chOff x="5012625" y="3780000"/>
          <a:chExt cx="666750" cy="0"/>
        </a:xfrm>
      </xdr:grpSpPr>
      <xdr:cxnSp macro="">
        <xdr:nvCxnSpPr>
          <xdr:cNvPr id="17" name="Shape 11"/>
          <xdr:cNvCxnSpPr/>
        </xdr:nvCxnSpPr>
        <xdr:spPr>
          <a:xfrm>
            <a:off x="5012625" y="3780000"/>
            <a:ext cx="6667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19</xdr:col>
      <xdr:colOff>28575</xdr:colOff>
      <xdr:row>8</xdr:row>
      <xdr:rowOff>9525</xdr:rowOff>
    </xdr:from>
    <xdr:ext cx="971550" cy="38100"/>
    <xdr:grpSp>
      <xdr:nvGrpSpPr>
        <xdr:cNvPr id="18" name="Shape 2"/>
        <xdr:cNvGrpSpPr/>
      </xdr:nvGrpSpPr>
      <xdr:grpSpPr>
        <a:xfrm>
          <a:off x="4860225" y="3780000"/>
          <a:ext cx="971550" cy="0"/>
          <a:chOff x="4860225" y="3780000"/>
          <a:chExt cx="971550" cy="0"/>
        </a:xfrm>
      </xdr:grpSpPr>
      <xdr:cxnSp macro="">
        <xdr:nvCxnSpPr>
          <xdr:cNvPr id="19" name="Shape 12"/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21</xdr:col>
      <xdr:colOff>0</xdr:colOff>
      <xdr:row>11</xdr:row>
      <xdr:rowOff>-19050</xdr:rowOff>
    </xdr:from>
    <xdr:ext cx="923925" cy="38100"/>
    <xdr:grpSp>
      <xdr:nvGrpSpPr>
        <xdr:cNvPr id="20" name="Shape 2"/>
        <xdr:cNvGrpSpPr/>
      </xdr:nvGrpSpPr>
      <xdr:grpSpPr>
        <a:xfrm>
          <a:off x="4884038" y="3780000"/>
          <a:ext cx="923925" cy="0"/>
          <a:chOff x="4884038" y="3780000"/>
          <a:chExt cx="923925" cy="0"/>
        </a:xfrm>
      </xdr:grpSpPr>
      <xdr:cxnSp macro="">
        <xdr:nvCxnSpPr>
          <xdr:cNvPr id="21" name="Shape 13"/>
          <xdr:cNvCxnSpPr/>
        </xdr:nvCxnSpPr>
        <xdr:spPr>
          <a:xfrm>
            <a:off x="4884038" y="3780000"/>
            <a:ext cx="9239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0</xdr:colOff>
      <xdr:row>14</xdr:row>
      <xdr:rowOff>-9525</xdr:rowOff>
    </xdr:from>
    <xdr:ext cx="857250" cy="38100"/>
    <xdr:grpSp>
      <xdr:nvGrpSpPr>
        <xdr:cNvPr id="2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 macro="">
        <xdr:nvCxnSpPr>
          <xdr:cNvPr id="23" name="Shape 14"/>
          <xdr:cNvCxnSpPr/>
        </xdr:nvCxnSpPr>
        <xdr:spPr>
          <a:xfrm>
            <a:off x="4917375" y="3780000"/>
            <a:ext cx="8572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16</xdr:row>
      <xdr:rowOff>161925</xdr:rowOff>
    </xdr:from>
    <xdr:ext cx="1066800" cy="38100"/>
    <xdr:grpSp>
      <xdr:nvGrpSpPr>
        <xdr:cNvPr id="24" name="Shape 2"/>
        <xdr:cNvGrpSpPr/>
      </xdr:nvGrpSpPr>
      <xdr:grpSpPr>
        <a:xfrm>
          <a:off x="4812600" y="3780000"/>
          <a:ext cx="1066800" cy="0"/>
          <a:chOff x="4812600" y="3780000"/>
          <a:chExt cx="1066800" cy="0"/>
        </a:xfrm>
      </xdr:grpSpPr>
      <xdr:cxnSp macro="">
        <xdr:nvCxnSpPr>
          <xdr:cNvPr id="25" name="Shape 15"/>
          <xdr:cNvCxnSpPr/>
        </xdr:nvCxnSpPr>
        <xdr:spPr>
          <a:xfrm>
            <a:off x="4812600" y="3780000"/>
            <a:ext cx="10668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0</xdr:colOff>
      <xdr:row>11</xdr:row>
      <xdr:rowOff>-9525</xdr:rowOff>
    </xdr:from>
    <xdr:ext cx="609600" cy="38100"/>
    <xdr:grpSp>
      <xdr:nvGrpSpPr>
        <xdr:cNvPr id="26" name="Shape 2"/>
        <xdr:cNvGrpSpPr/>
      </xdr:nvGrpSpPr>
      <xdr:grpSpPr>
        <a:xfrm>
          <a:off x="5041200" y="3780000"/>
          <a:ext cx="609600" cy="0"/>
          <a:chOff x="5041200" y="3780000"/>
          <a:chExt cx="609600" cy="0"/>
        </a:xfrm>
      </xdr:grpSpPr>
      <xdr:cxnSp macro="">
        <xdr:nvCxnSpPr>
          <xdr:cNvPr id="27" name="Shape 16"/>
          <xdr:cNvCxnSpPr/>
        </xdr:nvCxnSpPr>
        <xdr:spPr>
          <a:xfrm>
            <a:off x="5041200" y="3780000"/>
            <a:ext cx="609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37</xdr:col>
      <xdr:colOff>0</xdr:colOff>
      <xdr:row>14</xdr:row>
      <xdr:rowOff>-19050</xdr:rowOff>
    </xdr:from>
    <xdr:ext cx="581025" cy="38100"/>
    <xdr:grpSp>
      <xdr:nvGrpSpPr>
        <xdr:cNvPr id="28" name="Shape 2"/>
        <xdr:cNvGrpSpPr/>
      </xdr:nvGrpSpPr>
      <xdr:grpSpPr>
        <a:xfrm>
          <a:off x="5055488" y="3780000"/>
          <a:ext cx="581025" cy="0"/>
          <a:chOff x="5055488" y="3780000"/>
          <a:chExt cx="581025" cy="0"/>
        </a:xfrm>
      </xdr:grpSpPr>
      <xdr:cxnSp macro="">
        <xdr:nvCxnSpPr>
          <xdr:cNvPr id="29" name="Shape 17"/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0</xdr:colOff>
      <xdr:row>17</xdr:row>
      <xdr:rowOff>-9525</xdr:rowOff>
    </xdr:from>
    <xdr:ext cx="828675" cy="38100"/>
    <xdr:grpSp>
      <xdr:nvGrpSpPr>
        <xdr:cNvPr id="30" name="Shape 2"/>
        <xdr:cNvGrpSpPr/>
      </xdr:nvGrpSpPr>
      <xdr:grpSpPr>
        <a:xfrm>
          <a:off x="4931663" y="3780000"/>
          <a:ext cx="828675" cy="0"/>
          <a:chOff x="4931663" y="3780000"/>
          <a:chExt cx="828675" cy="0"/>
        </a:xfrm>
      </xdr:grpSpPr>
      <xdr:cxnSp macro="">
        <xdr:nvCxnSpPr>
          <xdr:cNvPr id="31" name="Shape 18"/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38</xdr:col>
      <xdr:colOff>0</xdr:colOff>
      <xdr:row>21</xdr:row>
      <xdr:rowOff>-19050</xdr:rowOff>
    </xdr:from>
    <xdr:ext cx="828675" cy="38100"/>
    <xdr:grpSp>
      <xdr:nvGrpSpPr>
        <xdr:cNvPr id="32" name="Shape 2"/>
        <xdr:cNvGrpSpPr/>
      </xdr:nvGrpSpPr>
      <xdr:grpSpPr>
        <a:xfrm>
          <a:off x="4931663" y="3780000"/>
          <a:ext cx="828675" cy="0"/>
          <a:chOff x="4931663" y="3780000"/>
          <a:chExt cx="828675" cy="0"/>
        </a:xfrm>
      </xdr:grpSpPr>
      <xdr:cxnSp macro="">
        <xdr:nvCxnSpPr>
          <xdr:cNvPr id="33" name="Shape 18"/>
          <xdr:cNvCxnSpPr/>
        </xdr:nvCxnSpPr>
        <xdr:spPr>
          <a:xfrm>
            <a:off x="4931663" y="3780000"/>
            <a:ext cx="828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37</xdr:col>
      <xdr:colOff>0</xdr:colOff>
      <xdr:row>24</xdr:row>
      <xdr:rowOff>-19050</xdr:rowOff>
    </xdr:from>
    <xdr:ext cx="666750" cy="38100"/>
    <xdr:grpSp>
      <xdr:nvGrpSpPr>
        <xdr:cNvPr id="34" name="Shape 2"/>
        <xdr:cNvGrpSpPr/>
      </xdr:nvGrpSpPr>
      <xdr:grpSpPr>
        <a:xfrm>
          <a:off x="5012625" y="3780000"/>
          <a:ext cx="666750" cy="0"/>
          <a:chOff x="5012625" y="3780000"/>
          <a:chExt cx="666750" cy="0"/>
        </a:xfrm>
      </xdr:grpSpPr>
      <xdr:cxnSp macro="">
        <xdr:nvCxnSpPr>
          <xdr:cNvPr id="35" name="Shape 11"/>
          <xdr:cNvCxnSpPr/>
        </xdr:nvCxnSpPr>
        <xdr:spPr>
          <a:xfrm>
            <a:off x="5012625" y="3780000"/>
            <a:ext cx="6667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36</xdr:col>
      <xdr:colOff>0</xdr:colOff>
      <xdr:row>27</xdr:row>
      <xdr:rowOff>-19050</xdr:rowOff>
    </xdr:from>
    <xdr:ext cx="552450" cy="38100"/>
    <xdr:grpSp>
      <xdr:nvGrpSpPr>
        <xdr:cNvPr id="36" name="Shape 2"/>
        <xdr:cNvGrpSpPr/>
      </xdr:nvGrpSpPr>
      <xdr:grpSpPr>
        <a:xfrm>
          <a:off x="5069775" y="3780000"/>
          <a:ext cx="552450" cy="0"/>
          <a:chOff x="5069775" y="3780000"/>
          <a:chExt cx="552450" cy="0"/>
        </a:xfrm>
      </xdr:grpSpPr>
      <xdr:cxnSp macro="">
        <xdr:nvCxnSpPr>
          <xdr:cNvPr id="37" name="Shape 19"/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35</xdr:col>
      <xdr:colOff>0</xdr:colOff>
      <xdr:row>30</xdr:row>
      <xdr:rowOff>-19050</xdr:rowOff>
    </xdr:from>
    <xdr:ext cx="419100" cy="38100"/>
    <xdr:grpSp>
      <xdr:nvGrpSpPr>
        <xdr:cNvPr id="38" name="Shape 2"/>
        <xdr:cNvGrpSpPr/>
      </xdr:nvGrpSpPr>
      <xdr:grpSpPr>
        <a:xfrm>
          <a:off x="5136450" y="3780000"/>
          <a:ext cx="419100" cy="0"/>
          <a:chOff x="5136450" y="3780000"/>
          <a:chExt cx="419100" cy="0"/>
        </a:xfrm>
      </xdr:grpSpPr>
      <xdr:cxnSp macro="">
        <xdr:nvCxnSpPr>
          <xdr:cNvPr id="39" name="Shape 20"/>
          <xdr:cNvCxnSpPr/>
        </xdr:nvCxnSpPr>
        <xdr:spPr>
          <a:xfrm>
            <a:off x="5136450" y="3780000"/>
            <a:ext cx="419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25</xdr:col>
      <xdr:colOff>0</xdr:colOff>
      <xdr:row>21</xdr:row>
      <xdr:rowOff>-19050</xdr:rowOff>
    </xdr:from>
    <xdr:ext cx="838200" cy="38100"/>
    <xdr:grpSp>
      <xdr:nvGrpSpPr>
        <xdr:cNvPr id="40" name="Shape 2"/>
        <xdr:cNvGrpSpPr/>
      </xdr:nvGrpSpPr>
      <xdr:grpSpPr>
        <a:xfrm>
          <a:off x="4926900" y="3780000"/>
          <a:ext cx="838200" cy="0"/>
          <a:chOff x="4926900" y="3780000"/>
          <a:chExt cx="838200" cy="0"/>
        </a:xfrm>
      </xdr:grpSpPr>
      <xdr:cxnSp macro="">
        <xdr:nvCxnSpPr>
          <xdr:cNvPr id="41" name="Shape 21"/>
          <xdr:cNvCxnSpPr/>
        </xdr:nvCxnSpPr>
        <xdr:spPr>
          <a:xfrm>
            <a:off x="4926900" y="3780000"/>
            <a:ext cx="8382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24</xdr:col>
      <xdr:colOff>0</xdr:colOff>
      <xdr:row>23</xdr:row>
      <xdr:rowOff>142875</xdr:rowOff>
    </xdr:from>
    <xdr:ext cx="733425" cy="38100"/>
    <xdr:grpSp>
      <xdr:nvGrpSpPr>
        <xdr:cNvPr id="42" name="Shape 2"/>
        <xdr:cNvGrpSpPr/>
      </xdr:nvGrpSpPr>
      <xdr:grpSpPr>
        <a:xfrm>
          <a:off x="4979288" y="3780000"/>
          <a:ext cx="733425" cy="0"/>
          <a:chOff x="4979288" y="3780000"/>
          <a:chExt cx="733425" cy="0"/>
        </a:xfrm>
      </xdr:grpSpPr>
      <xdr:cxnSp macro="">
        <xdr:nvCxnSpPr>
          <xdr:cNvPr id="43" name="Shape 22"/>
          <xdr:cNvCxnSpPr/>
        </xdr:nvCxnSpPr>
        <xdr:spPr>
          <a:xfrm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23</xdr:col>
      <xdr:colOff>0</xdr:colOff>
      <xdr:row>26</xdr:row>
      <xdr:rowOff>161925</xdr:rowOff>
    </xdr:from>
    <xdr:ext cx="533400" cy="38100"/>
    <xdr:grpSp>
      <xdr:nvGrpSpPr>
        <xdr:cNvPr id="44" name="Shape 2"/>
        <xdr:cNvGrpSpPr/>
      </xdr:nvGrpSpPr>
      <xdr:grpSpPr>
        <a:xfrm>
          <a:off x="5079300" y="3780000"/>
          <a:ext cx="533400" cy="0"/>
          <a:chOff x="5079300" y="3780000"/>
          <a:chExt cx="533400" cy="0"/>
        </a:xfrm>
      </xdr:grpSpPr>
      <xdr:cxnSp macro="">
        <xdr:nvCxnSpPr>
          <xdr:cNvPr id="45" name="Shape 23"/>
          <xdr:cNvCxnSpPr/>
        </xdr:nvCxnSpPr>
        <xdr:spPr>
          <a:xfrm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22</xdr:col>
      <xdr:colOff>28575</xdr:colOff>
      <xdr:row>30</xdr:row>
      <xdr:rowOff>9525</xdr:rowOff>
    </xdr:from>
    <xdr:ext cx="333375" cy="38100"/>
    <xdr:grpSp>
      <xdr:nvGrpSpPr>
        <xdr:cNvPr id="46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 macro="">
        <xdr:nvCxnSpPr>
          <xdr:cNvPr id="47" name="Shape 24"/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28575</xdr:colOff>
      <xdr:row>29</xdr:row>
      <xdr:rowOff>161925</xdr:rowOff>
    </xdr:from>
    <xdr:ext cx="314325" cy="38100"/>
    <xdr:grpSp>
      <xdr:nvGrpSpPr>
        <xdr:cNvPr id="48" name="Shape 2"/>
        <xdr:cNvGrpSpPr/>
      </xdr:nvGrpSpPr>
      <xdr:grpSpPr>
        <a:xfrm>
          <a:off x="5188838" y="3780000"/>
          <a:ext cx="314325" cy="0"/>
          <a:chOff x="5188838" y="3780000"/>
          <a:chExt cx="314325" cy="0"/>
        </a:xfrm>
      </xdr:grpSpPr>
      <xdr:cxnSp macro="">
        <xdr:nvCxnSpPr>
          <xdr:cNvPr id="49" name="Shape 25"/>
          <xdr:cNvCxnSpPr/>
        </xdr:nvCxnSpPr>
        <xdr:spPr>
          <a:xfrm>
            <a:off x="5188838" y="3780000"/>
            <a:ext cx="3143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28575</xdr:colOff>
      <xdr:row>27</xdr:row>
      <xdr:rowOff>-19050</xdr:rowOff>
    </xdr:from>
    <xdr:ext cx="447675" cy="38100"/>
    <xdr:grpSp>
      <xdr:nvGrpSpPr>
        <xdr:cNvPr id="50" name="Shape 2"/>
        <xdr:cNvGrpSpPr/>
      </xdr:nvGrpSpPr>
      <xdr:grpSpPr>
        <a:xfrm>
          <a:off x="5122163" y="3780000"/>
          <a:ext cx="447675" cy="0"/>
          <a:chOff x="5122163" y="3780000"/>
          <a:chExt cx="447675" cy="0"/>
        </a:xfrm>
      </xdr:grpSpPr>
      <xdr:cxnSp macro="">
        <xdr:nvCxnSpPr>
          <xdr:cNvPr id="51" name="Shape 26"/>
          <xdr:cNvCxnSpPr/>
        </xdr:nvCxnSpPr>
        <xdr:spPr>
          <a:xfrm>
            <a:off x="5122163" y="3780000"/>
            <a:ext cx="4476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0</xdr:colOff>
      <xdr:row>24</xdr:row>
      <xdr:rowOff>-19050</xdr:rowOff>
    </xdr:from>
    <xdr:ext cx="647700" cy="38100"/>
    <xdr:grpSp>
      <xdr:nvGrpSpPr>
        <xdr:cNvPr id="52" name="Shape 2"/>
        <xdr:cNvGrpSpPr/>
      </xdr:nvGrpSpPr>
      <xdr:grpSpPr>
        <a:xfrm>
          <a:off x="5022150" y="3780000"/>
          <a:ext cx="647700" cy="0"/>
          <a:chOff x="5022150" y="3780000"/>
          <a:chExt cx="647700" cy="0"/>
        </a:xfrm>
      </xdr:grpSpPr>
      <xdr:cxnSp macro="">
        <xdr:nvCxnSpPr>
          <xdr:cNvPr id="53" name="Shape 27"/>
          <xdr:cNvCxnSpPr/>
        </xdr:nvCxnSpPr>
        <xdr:spPr>
          <a:xfrm>
            <a:off x="5022150" y="3780000"/>
            <a:ext cx="6477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-19050</xdr:rowOff>
    </xdr:from>
    <xdr:ext cx="800100" cy="38100"/>
    <xdr:grpSp>
      <xdr:nvGrpSpPr>
        <xdr:cNvPr id="54" name="Shape 2"/>
        <xdr:cNvGrpSpPr/>
      </xdr:nvGrpSpPr>
      <xdr:grpSpPr>
        <a:xfrm>
          <a:off x="4945950" y="3780000"/>
          <a:ext cx="800100" cy="0"/>
          <a:chOff x="4945950" y="3780000"/>
          <a:chExt cx="800100" cy="0"/>
        </a:xfrm>
      </xdr:grpSpPr>
      <xdr:cxnSp macro="">
        <xdr:nvCxnSpPr>
          <xdr:cNvPr id="55" name="Shape 28"/>
          <xdr:cNvCxnSpPr/>
        </xdr:nvCxnSpPr>
        <xdr:spPr>
          <a:xfrm>
            <a:off x="4945950" y="3780000"/>
            <a:ext cx="8001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9</xdr:col>
      <xdr:colOff>0</xdr:colOff>
      <xdr:row>11</xdr:row>
      <xdr:rowOff>-9525</xdr:rowOff>
    </xdr:from>
    <xdr:ext cx="552450" cy="38100"/>
    <xdr:grpSp>
      <xdr:nvGrpSpPr>
        <xdr:cNvPr id="56" name="Shape 2"/>
        <xdr:cNvGrpSpPr/>
      </xdr:nvGrpSpPr>
      <xdr:grpSpPr>
        <a:xfrm>
          <a:off x="5069775" y="3780000"/>
          <a:ext cx="552450" cy="0"/>
          <a:chOff x="5069775" y="3780000"/>
          <a:chExt cx="552450" cy="0"/>
        </a:xfrm>
      </xdr:grpSpPr>
      <xdr:cxnSp macro="">
        <xdr:nvCxnSpPr>
          <xdr:cNvPr id="57" name="Shape 19"/>
          <xdr:cNvCxnSpPr/>
        </xdr:nvCxnSpPr>
        <xdr:spPr>
          <a:xfrm>
            <a:off x="5069775" y="3780000"/>
            <a:ext cx="5524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161925</xdr:rowOff>
    </xdr:from>
    <xdr:ext cx="762000" cy="38100"/>
    <xdr:grpSp>
      <xdr:nvGrpSpPr>
        <xdr:cNvPr id="58" name="Shape 2"/>
        <xdr:cNvGrpSpPr/>
      </xdr:nvGrpSpPr>
      <xdr:grpSpPr>
        <a:xfrm>
          <a:off x="4965000" y="3780000"/>
          <a:ext cx="762000" cy="0"/>
          <a:chOff x="4965000" y="3780000"/>
          <a:chExt cx="762000" cy="0"/>
        </a:xfrm>
      </xdr:grpSpPr>
      <xdr:cxnSp macro="">
        <xdr:nvCxnSpPr>
          <xdr:cNvPr id="59" name="Shape 29"/>
          <xdr:cNvCxnSpPr/>
        </xdr:nvCxnSpPr>
        <xdr:spPr>
          <a:xfrm>
            <a:off x="4965000" y="3780000"/>
            <a:ext cx="7620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11</xdr:col>
      <xdr:colOff>0</xdr:colOff>
      <xdr:row>17</xdr:row>
      <xdr:rowOff>-19050</xdr:rowOff>
    </xdr:from>
    <xdr:ext cx="971550" cy="38100"/>
    <xdr:grpSp>
      <xdr:nvGrpSpPr>
        <xdr:cNvPr id="60" name="Shape 2"/>
        <xdr:cNvGrpSpPr/>
      </xdr:nvGrpSpPr>
      <xdr:grpSpPr>
        <a:xfrm>
          <a:off x="4860225" y="3780000"/>
          <a:ext cx="971550" cy="0"/>
          <a:chOff x="4860225" y="3780000"/>
          <a:chExt cx="971550" cy="0"/>
        </a:xfrm>
      </xdr:grpSpPr>
      <xdr:cxnSp macro="">
        <xdr:nvCxnSpPr>
          <xdr:cNvPr id="61" name="Shape 12"/>
          <xdr:cNvCxnSpPr/>
        </xdr:nvCxnSpPr>
        <xdr:spPr>
          <a:xfrm>
            <a:off x="4860225" y="3780000"/>
            <a:ext cx="9715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8</xdr:col>
      <xdr:colOff>0</xdr:colOff>
      <xdr:row>8</xdr:row>
      <xdr:rowOff>-19050</xdr:rowOff>
    </xdr:from>
    <xdr:ext cx="333375" cy="38100"/>
    <xdr:grpSp>
      <xdr:nvGrpSpPr>
        <xdr:cNvPr id="6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 macro="">
        <xdr:nvCxnSpPr>
          <xdr:cNvPr id="63" name="Shape 24"/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</xdr:col>
      <xdr:colOff>1219200</xdr:colOff>
      <xdr:row>1</xdr:row>
      <xdr:rowOff>0</xdr:rowOff>
    </xdr:from>
    <xdr:ext cx="0" cy="323850"/>
    <xdr:pic>
      <xdr:nvPicPr>
        <xdr:cNvPr id="64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1219200</xdr:colOff>
      <xdr:row>1</xdr:row>
      <xdr:rowOff>0</xdr:rowOff>
    </xdr:from>
    <xdr:ext cx="0" cy="323850"/>
    <xdr:pic>
      <xdr:nvPicPr>
        <xdr:cNvPr id="65" name="image2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104775</xdr:rowOff>
    </xdr:from>
    <xdr:ext cx="1076325" cy="381000"/>
    <xdr:pic>
      <xdr:nvPicPr>
        <xdr:cNvPr id="66" name="image3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495300</xdr:colOff>
      <xdr:row>26</xdr:row>
      <xdr:rowOff>114300</xdr:rowOff>
    </xdr:from>
    <xdr:ext cx="4962525" cy="3286125"/>
    <xdr:graphicFrame macro="">
      <xdr:nvGraphicFramePr>
        <xdr:cNvPr id="297401794" name="Chart 1" descr="Chart 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66675</xdr:colOff>
      <xdr:row>26</xdr:row>
      <xdr:rowOff>114300</xdr:rowOff>
    </xdr:from>
    <xdr:ext cx="4876800" cy="3314700"/>
    <xdr:graphicFrame macro="">
      <xdr:nvGraphicFramePr>
        <xdr:cNvPr id="705145443" name="Chart 2" descr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12</xdr:col>
      <xdr:colOff>161925</xdr:colOff>
      <xdr:row>26</xdr:row>
      <xdr:rowOff>114300</xdr:rowOff>
    </xdr:from>
    <xdr:ext cx="4257675" cy="3333750"/>
    <xdr:graphicFrame macro="">
      <xdr:nvGraphicFramePr>
        <xdr:cNvPr id="1909350056" name="Chart 3" descr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495300</xdr:colOff>
      <xdr:row>44</xdr:row>
      <xdr:rowOff>66675</xdr:rowOff>
    </xdr:from>
    <xdr:ext cx="4943475" cy="3648075"/>
    <xdr:graphicFrame macro="">
      <xdr:nvGraphicFramePr>
        <xdr:cNvPr id="201140291" name="Chart 4" descr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95250</xdr:colOff>
      <xdr:row>44</xdr:row>
      <xdr:rowOff>104775</xdr:rowOff>
    </xdr:from>
    <xdr:ext cx="4857750" cy="3657600"/>
    <xdr:graphicFrame macro="">
      <xdr:nvGraphicFramePr>
        <xdr:cNvPr id="756125688" name="Chart 5" descr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12</xdr:col>
      <xdr:colOff>180975</xdr:colOff>
      <xdr:row>44</xdr:row>
      <xdr:rowOff>114300</xdr:rowOff>
    </xdr:from>
    <xdr:ext cx="4238625" cy="3686175"/>
    <xdr:graphicFrame macro="">
      <xdr:nvGraphicFramePr>
        <xdr:cNvPr id="1978418249" name="Chart 6" descr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495300</xdr:colOff>
      <xdr:row>5</xdr:row>
      <xdr:rowOff>152400</xdr:rowOff>
    </xdr:from>
    <xdr:ext cx="14335125" cy="4000500"/>
    <xdr:graphicFrame macro="">
      <xdr:nvGraphicFramePr>
        <xdr:cNvPr id="760644956" name="Chart 7" descr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1</xdr:col>
      <xdr:colOff>1219200</xdr:colOff>
      <xdr:row>1</xdr:row>
      <xdr:rowOff>0</xdr:rowOff>
    </xdr:from>
    <xdr:ext cx="0" cy="323850"/>
    <xdr:pic>
      <xdr:nvPicPr>
        <xdr:cNvPr id="2" name="image2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1219200</xdr:colOff>
      <xdr:row>1</xdr:row>
      <xdr:rowOff>0</xdr:rowOff>
    </xdr:from>
    <xdr:ext cx="0" cy="32385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4</xdr:row>
      <xdr:rowOff>-9525</xdr:rowOff>
    </xdr:from>
    <xdr:ext cx="13744575" cy="6467475"/>
    <xdr:sp macro="" textlink="">
      <xdr:nvSpPr>
        <xdr:cNvPr id="30" name="Shape 30"/>
        <xdr:cNvSpPr/>
      </xdr:nvSpPr>
      <xdr:spPr>
        <a:xfrm>
          <a:off x="0" y="555788"/>
          <a:ext cx="10692000" cy="6448425"/>
        </a:xfrm>
        <a:custGeom>
          <a:avLst/>
          <a:gdLst/>
          <a:ahLst/>
          <a:cxnLst/>
          <a:rect l="l" t="t" r="r" b="b"/>
          <a:pathLst>
            <a:path w="120000" h="120000" extrusionOk="0">
              <a:moveTo>
                <a:pt x="4523" y="60000"/>
              </a:moveTo>
              <a:lnTo>
                <a:pt x="4523" y="60000"/>
              </a:lnTo>
              <a:cubicBezTo>
                <a:pt x="4523" y="35859"/>
                <a:pt x="21919" y="14830"/>
                <a:pt x="46683" y="9035"/>
              </a:cubicBezTo>
              <a:cubicBezTo>
                <a:pt x="71447" y="3240"/>
                <a:pt x="97194" y="14173"/>
                <a:pt x="109083" y="35532"/>
              </a:cubicBezTo>
              <a:lnTo>
                <a:pt x="111810" y="35532"/>
              </a:lnTo>
              <a:lnTo>
                <a:pt x="110953" y="60000"/>
              </a:lnTo>
              <a:lnTo>
                <a:pt x="93716" y="35532"/>
              </a:lnTo>
              <a:lnTo>
                <a:pt x="95185" y="35532"/>
              </a:lnTo>
              <a:lnTo>
                <a:pt x="95185" y="35532"/>
              </a:lnTo>
              <a:cubicBezTo>
                <a:pt x="82520" y="23651"/>
                <a:pt x="62041" y="19388"/>
                <a:pt x="43843" y="24844"/>
              </a:cubicBezTo>
              <a:cubicBezTo>
                <a:pt x="25645" y="30299"/>
                <a:pt x="13570" y="44322"/>
                <a:pt x="13570" y="60000"/>
              </a:cubicBezTo>
              <a:close/>
            </a:path>
          </a:pathLst>
        </a:custGeom>
        <a:noFill/>
        <a:ln w="19050" cap="flat" cmpd="sng">
          <a:solidFill>
            <a:srgbClr val="4C9ADC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i="0" u="none" strike="noStrike">
              <a:solidFill>
                <a:srgbClr val="FFFFFF"/>
              </a:solidFill>
              <a:latin typeface="Calibri"/>
              <a:ea typeface="Calibri"/>
              <a:cs typeface="Calibri"/>
              <a:sym typeface="Calibri"/>
            </a:rPr>
            <a:t>-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14</xdr:row>
      <xdr:rowOff>104775</xdr:rowOff>
    </xdr:from>
    <xdr:ext cx="5286375" cy="828675"/>
    <xdr:sp macro="" textlink="">
      <xdr:nvSpPr>
        <xdr:cNvPr id="31" name="Shape 31"/>
        <xdr:cNvSpPr/>
      </xdr:nvSpPr>
      <xdr:spPr>
        <a:xfrm>
          <a:off x="2707575" y="3370425"/>
          <a:ext cx="5276850" cy="819150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Basta solicitar uma aula online de 1 hora </a:t>
          </a: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pelo valor de R$100. Você vai ter a ajuda dos nossos consultores do conforto da sua casa. Agende o seu horário pelo email producao@luz.vc</a:t>
          </a:r>
          <a:endParaRPr sz="1400"/>
        </a:p>
      </xdr:txBody>
    </xdr:sp>
    <xdr:clientData fLocksWithSheet="0"/>
  </xdr:oneCellAnchor>
  <xdr:oneCellAnchor>
    <xdr:from>
      <xdr:col>1</xdr:col>
      <xdr:colOff>781050</xdr:colOff>
      <xdr:row>7</xdr:row>
      <xdr:rowOff>114300</xdr:rowOff>
    </xdr:from>
    <xdr:ext cx="5286375" cy="828675"/>
    <xdr:sp macro="" textlink="">
      <xdr:nvSpPr>
        <xdr:cNvPr id="32" name="Shape 32"/>
        <xdr:cNvSpPr/>
      </xdr:nvSpPr>
      <xdr:spPr>
        <a:xfrm>
          <a:off x="2707575" y="3370425"/>
          <a:ext cx="5276850" cy="819150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Não se preocupe, </a:t>
          </a:r>
          <a:r>
            <a:rPr lang="en-US" sz="140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nós fazemos planilhas personalizadas de acordo com a sua necessidade</a:t>
          </a: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, basta enviar um email para producao@luz.vc e nos falar o que você precisa.</a:t>
          </a:r>
          <a:endParaRPr sz="1400"/>
        </a:p>
      </xdr:txBody>
    </xdr:sp>
    <xdr:clientData fLocksWithSheet="0"/>
  </xdr:oneCellAnchor>
  <xdr:oneCellAnchor>
    <xdr:from>
      <xdr:col>1</xdr:col>
      <xdr:colOff>752475</xdr:colOff>
      <xdr:row>20</xdr:row>
      <xdr:rowOff>76200</xdr:rowOff>
    </xdr:from>
    <xdr:ext cx="5286375" cy="1390650"/>
    <xdr:sp macro="" textlink="">
      <xdr:nvSpPr>
        <xdr:cNvPr id="33" name="Shape 33"/>
        <xdr:cNvSpPr/>
      </xdr:nvSpPr>
      <xdr:spPr>
        <a:xfrm>
          <a:off x="2707575" y="3089438"/>
          <a:ext cx="5276850" cy="1381125"/>
        </a:xfrm>
        <a:prstGeom prst="rect">
          <a:avLst/>
        </a:prstGeom>
        <a:solidFill>
          <a:srgbClr val="FFFFFF"/>
        </a:solidFill>
        <a:ln w="9525" cap="flat" cmpd="sng">
          <a:solidFill>
            <a:srgbClr val="7F7F7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O seu depoimento é essencial para sabermos se estamos no caminho certo. Se você gostou da planilha, </a:t>
          </a:r>
          <a:r>
            <a:rPr lang="en-US" sz="140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entre em </a:t>
          </a:r>
          <a:r>
            <a:rPr lang="en-US" sz="1400" b="1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luz.vc/minha-conta </a:t>
          </a:r>
          <a:r>
            <a:rPr lang="en-US" sz="1400" i="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e deixe o seu depoimento </a:t>
          </a:r>
          <a:r>
            <a:rPr lang="en-US" sz="1400" i="0" u="none" strike="noStrike">
              <a:solidFill>
                <a:srgbClr val="808080"/>
              </a:solidFill>
              <a:latin typeface="Calibri"/>
              <a:ea typeface="Calibri"/>
              <a:cs typeface="Calibri"/>
              <a:sym typeface="Calibri"/>
            </a:rPr>
            <a:t>pra gente! Prometo que não vai te custar nem 3 minutos.</a:t>
          </a:r>
          <a:endParaRPr sz="1400"/>
        </a:p>
      </xdr:txBody>
    </xdr:sp>
    <xdr:clientData fLocksWithSheet="0"/>
  </xdr:oneCellAnchor>
  <xdr:oneCellAnchor>
    <xdr:from>
      <xdr:col>5</xdr:col>
      <xdr:colOff>914400</xdr:colOff>
      <xdr:row>10</xdr:row>
      <xdr:rowOff>28575</xdr:rowOff>
    </xdr:from>
    <xdr:ext cx="6953250" cy="2590800"/>
    <xdr:grpSp>
      <xdr:nvGrpSpPr>
        <xdr:cNvPr id="2" name="Shape 2"/>
        <xdr:cNvGrpSpPr/>
      </xdr:nvGrpSpPr>
      <xdr:grpSpPr>
        <a:xfrm>
          <a:off x="1869375" y="2484600"/>
          <a:ext cx="6953250" cy="2590800"/>
          <a:chOff x="1869375" y="2484600"/>
          <a:chExt cx="6953250" cy="2590800"/>
        </a:xfrm>
      </xdr:grpSpPr>
      <xdr:grpSp>
        <xdr:nvGrpSpPr>
          <xdr:cNvPr id="34" name="Shape 34"/>
          <xdr:cNvGrpSpPr/>
        </xdr:nvGrpSpPr>
        <xdr:grpSpPr>
          <a:xfrm>
            <a:off x="1869375" y="2484600"/>
            <a:ext cx="6953250" cy="2590800"/>
            <a:chOff x="7517352" y="2971244"/>
            <a:chExt cx="7361968" cy="2553256"/>
          </a:xfrm>
        </xdr:grpSpPr>
        <xdr:sp macro="" textlink="">
          <xdr:nvSpPr>
            <xdr:cNvPr id="35" name="Shape 35"/>
            <xdr:cNvSpPr/>
          </xdr:nvSpPr>
          <xdr:spPr>
            <a:xfrm>
              <a:off x="7517352" y="2971244"/>
              <a:ext cx="7361950" cy="25532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36" name="Shape 36"/>
            <xdr:cNvSpPr/>
          </xdr:nvSpPr>
          <xdr:spPr>
            <a:xfrm>
              <a:off x="7618201" y="4585803"/>
              <a:ext cx="1916129" cy="910536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i="0" u="none" strike="noStrike">
                  <a:solidFill>
                    <a:srgbClr val="33CCCC"/>
                  </a:solidFill>
                  <a:latin typeface="Calibri"/>
                  <a:ea typeface="Calibri"/>
                  <a:cs typeface="Calibri"/>
                  <a:sym typeface="Calibri"/>
                </a:rPr>
                <a:t>Pacotes de Planilhas de Operações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 i="0" u="none" strike="noStrike">
                <a:solidFill>
                  <a:srgbClr val="33CCCC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37" name="Shape 37"/>
            <xdr:cNvSpPr/>
          </xdr:nvSpPr>
          <xdr:spPr>
            <a:xfrm>
              <a:off x="10018404" y="4613964"/>
              <a:ext cx="2117826" cy="910536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i="0" u="none" strike="noStrike">
                  <a:solidFill>
                    <a:srgbClr val="33CCCC"/>
                  </a:solidFill>
                  <a:latin typeface="Calibri"/>
                  <a:ea typeface="Calibri"/>
                  <a:cs typeface="Calibri"/>
                  <a:sym typeface="Calibri"/>
                </a:rPr>
                <a:t>Mais algumas ferramentas de Operações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 i="0" u="none" strike="noStrike">
                <a:solidFill>
                  <a:srgbClr val="33CCCC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38" name="Shape 38"/>
            <xdr:cNvSpPr/>
          </xdr:nvSpPr>
          <xdr:spPr>
            <a:xfrm>
              <a:off x="12771578" y="4613964"/>
              <a:ext cx="1966553" cy="910536"/>
            </a:xfrm>
            <a:prstGeom prst="rect">
              <a:avLst/>
            </a:prstGeom>
            <a:solidFill>
              <a:srgbClr val="FFFFFF"/>
            </a:solidFill>
            <a:ln w="9525" cap="flat" cmpd="sng">
              <a:solidFill>
                <a:srgbClr val="7F7F7F"/>
              </a:solidFill>
              <a:prstDash val="solid"/>
              <a:miter lim="800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i="0" u="none" strike="noStrike">
                  <a:solidFill>
                    <a:srgbClr val="33CCCC"/>
                  </a:solidFill>
                  <a:latin typeface="Calibri"/>
                  <a:ea typeface="Calibri"/>
                  <a:cs typeface="Calibri"/>
                  <a:sym typeface="Calibri"/>
                </a:rPr>
                <a:t>Pacotes de 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i="0" u="none" strike="noStrike">
                  <a:solidFill>
                    <a:srgbClr val="33CCCC"/>
                  </a:solidFill>
                  <a:latin typeface="Calibri"/>
                  <a:ea typeface="Calibri"/>
                  <a:cs typeface="Calibri"/>
                  <a:sym typeface="Calibri"/>
                </a:rPr>
                <a:t>Planilhas LUZ</a:t>
              </a:r>
              <a:endParaRPr sz="1400"/>
            </a:p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 i="0" u="none" strike="noStrike">
                <a:solidFill>
                  <a:srgbClr val="33CCCC"/>
                </a:solidFill>
                <a:latin typeface="Calibri"/>
                <a:ea typeface="Calibri"/>
                <a:cs typeface="Calibri"/>
                <a:sym typeface="Calibri"/>
              </a:endParaRPr>
            </a:p>
          </xdr:txBody>
        </xdr:sp>
        <xdr:sp macro="" textlink="">
          <xdr:nvSpPr>
            <xdr:cNvPr id="39" name="Shape 39"/>
            <xdr:cNvSpPr/>
          </xdr:nvSpPr>
          <xdr:spPr>
            <a:xfrm>
              <a:off x="13154805" y="5167795"/>
              <a:ext cx="1250526" cy="253448"/>
            </a:xfrm>
            <a:prstGeom prst="rect">
              <a:avLst/>
            </a:prstGeom>
            <a:solidFill>
              <a:srgbClr val="C0504D"/>
            </a:solidFill>
            <a:ln>
              <a:noFill/>
            </a:ln>
          </xdr:spPr>
          <xdr:txBody>
            <a:bodyPr spcFirstLastPara="1" wrap="square" lIns="91425" tIns="45700" rIns="91425" bIns="45700" anchor="b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Mais detalhes</a:t>
              </a:r>
              <a:endParaRPr sz="1400"/>
            </a:p>
          </xdr:txBody>
        </xdr:sp>
        <xdr:sp macro="" textlink="">
          <xdr:nvSpPr>
            <xdr:cNvPr id="40" name="Shape 40"/>
            <xdr:cNvSpPr/>
          </xdr:nvSpPr>
          <xdr:spPr>
            <a:xfrm>
              <a:off x="10391545" y="5139634"/>
              <a:ext cx="1250526" cy="253448"/>
            </a:xfrm>
            <a:prstGeom prst="rect">
              <a:avLst/>
            </a:prstGeom>
            <a:solidFill>
              <a:srgbClr val="C0504D"/>
            </a:solidFill>
            <a:ln>
              <a:noFill/>
            </a:ln>
          </xdr:spPr>
          <xdr:txBody>
            <a:bodyPr spcFirstLastPara="1" wrap="square" lIns="91425" tIns="45700" rIns="91425" bIns="45700" anchor="b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Mais detalhes</a:t>
              </a:r>
              <a:endParaRPr sz="1400"/>
            </a:p>
          </xdr:txBody>
        </xdr:sp>
        <xdr:sp macro="" textlink="">
          <xdr:nvSpPr>
            <xdr:cNvPr id="41" name="Shape 41"/>
            <xdr:cNvSpPr/>
          </xdr:nvSpPr>
          <xdr:spPr>
            <a:xfrm>
              <a:off x="7971172" y="5139634"/>
              <a:ext cx="1250526" cy="253448"/>
            </a:xfrm>
            <a:prstGeom prst="rect">
              <a:avLst/>
            </a:prstGeom>
            <a:solidFill>
              <a:srgbClr val="C0504D"/>
            </a:solidFill>
            <a:ln>
              <a:noFill/>
            </a:ln>
          </xdr:spPr>
          <xdr:txBody>
            <a:bodyPr spcFirstLastPara="1" wrap="square" lIns="91425" tIns="45700" rIns="91425" bIns="45700" anchor="b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400" i="0" u="none" strike="noStrike">
                  <a:solidFill>
                    <a:srgbClr val="FFFFFF"/>
                  </a:solidFill>
                  <a:latin typeface="Calibri"/>
                  <a:ea typeface="Calibri"/>
                  <a:cs typeface="Calibri"/>
                  <a:sym typeface="Calibri"/>
                </a:rPr>
                <a:t>Mais detalhes</a:t>
              </a:r>
              <a:endParaRPr sz="1400"/>
            </a:p>
          </xdr:txBody>
        </xdr:sp>
        <xdr:pic>
          <xdr:nvPicPr>
            <xdr:cNvPr id="42" name="Shape 42"/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2674600" y="3009900"/>
              <a:ext cx="2204720" cy="14351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3" name="Shape 43"/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7517352" y="3009900"/>
              <a:ext cx="2125210" cy="144780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44" name="Shape 44"/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9978065" y="2971244"/>
              <a:ext cx="2107742" cy="143620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</xdr:col>
      <xdr:colOff>1209675</xdr:colOff>
      <xdr:row>1</xdr:row>
      <xdr:rowOff>0</xdr:rowOff>
    </xdr:from>
    <xdr:ext cx="0" cy="314325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1209675</xdr:colOff>
      <xdr:row>1</xdr:row>
      <xdr:rowOff>0</xdr:rowOff>
    </xdr:from>
    <xdr:ext cx="0" cy="342900"/>
    <xdr:pic>
      <xdr:nvPicPr>
        <xdr:cNvPr id="4" name="image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1209675</xdr:colOff>
      <xdr:row>1</xdr:row>
      <xdr:rowOff>0</xdr:rowOff>
    </xdr:from>
    <xdr:ext cx="0" cy="295275"/>
    <xdr:pic>
      <xdr:nvPicPr>
        <xdr:cNvPr id="5" name="image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1209675</xdr:colOff>
      <xdr:row>1</xdr:row>
      <xdr:rowOff>0</xdr:rowOff>
    </xdr:from>
    <xdr:ext cx="0" cy="314325"/>
    <xdr:pic>
      <xdr:nvPicPr>
        <xdr:cNvPr id="6" name="image2.pn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</xdr:row>
      <xdr:rowOff>104775</xdr:rowOff>
    </xdr:from>
    <xdr:ext cx="1200150" cy="381000"/>
    <xdr:pic>
      <xdr:nvPicPr>
        <xdr:cNvPr id="7" name="image4.pn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/>
  </sheetViews>
  <sheetFormatPr defaultColWidth="14.42578125" defaultRowHeight="15" customHeight="1"/>
  <cols>
    <col min="1" max="1" width="5.42578125" customWidth="1"/>
    <col min="2" max="2" width="36.7109375" customWidth="1"/>
    <col min="3" max="3" width="16.42578125" customWidth="1"/>
    <col min="4" max="4" width="14.42578125" customWidth="1"/>
    <col min="5" max="6" width="16.42578125" customWidth="1"/>
    <col min="7" max="7" width="13.42578125" customWidth="1"/>
    <col min="8" max="16" width="16.42578125" customWidth="1"/>
    <col min="17" max="26" width="8" customWidth="1"/>
  </cols>
  <sheetData>
    <row r="1" spans="1:26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"/>
      <c r="B2" s="1" t="s">
        <v>0</v>
      </c>
      <c r="C2" s="37"/>
      <c r="D2" s="3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5.5" customHeight="1">
      <c r="A3" s="1"/>
      <c r="B3" s="1"/>
      <c r="C3" s="39" t="s">
        <v>1</v>
      </c>
      <c r="D3" s="40"/>
      <c r="E3" s="40"/>
      <c r="F3" s="40"/>
      <c r="G3" s="40"/>
      <c r="H3" s="40"/>
      <c r="I3" s="4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3"/>
      <c r="B4" s="4" t="s">
        <v>2</v>
      </c>
      <c r="C4" s="42" t="s">
        <v>3</v>
      </c>
      <c r="D4" s="41"/>
      <c r="E4" s="43" t="s">
        <v>4</v>
      </c>
      <c r="F4" s="44"/>
      <c r="G4" s="43" t="s">
        <v>5</v>
      </c>
      <c r="H4" s="44"/>
      <c r="I4" s="43" t="s">
        <v>6</v>
      </c>
      <c r="J4" s="44"/>
      <c r="K4" s="43" t="s">
        <v>7</v>
      </c>
      <c r="L4" s="44"/>
      <c r="M4" s="3"/>
      <c r="N4" s="3"/>
      <c r="O4" s="3"/>
      <c r="P4" s="3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6"/>
      <c r="B35" s="6"/>
      <c r="C35" s="6"/>
      <c r="D35" s="6"/>
      <c r="E35" s="6"/>
      <c r="F35" s="6"/>
      <c r="G35" s="6"/>
      <c r="H35" s="7"/>
      <c r="I35" s="45" t="s">
        <v>8</v>
      </c>
      <c r="J35" s="40"/>
      <c r="K35" s="41"/>
      <c r="L35" s="6"/>
      <c r="M35" s="6"/>
      <c r="N35" s="6"/>
      <c r="O35" s="6"/>
      <c r="P35" s="6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K4:L4"/>
    <mergeCell ref="I35:K35"/>
    <mergeCell ref="C2:D2"/>
    <mergeCell ref="C3:I3"/>
    <mergeCell ref="C4:D4"/>
    <mergeCell ref="E4:F4"/>
    <mergeCell ref="G4:H4"/>
    <mergeCell ref="I4:J4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85546875" customWidth="1"/>
    <col min="2" max="2" width="43.140625" customWidth="1"/>
    <col min="3" max="3" width="12.42578125" customWidth="1"/>
    <col min="4" max="4" width="14.140625" customWidth="1"/>
    <col min="5" max="5" width="42.42578125" customWidth="1"/>
    <col min="6" max="6" width="11.28515625" customWidth="1"/>
    <col min="7" max="7" width="16.42578125" customWidth="1"/>
    <col min="8" max="8" width="43.140625" customWidth="1"/>
    <col min="9" max="9" width="11.28515625" customWidth="1"/>
    <col min="10" max="16" width="8.85546875" customWidth="1"/>
    <col min="17" max="26" width="8" customWidth="1"/>
  </cols>
  <sheetData>
    <row r="1" spans="1:26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1" t="s">
        <v>0</v>
      </c>
      <c r="C2" s="37"/>
      <c r="D2" s="3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5.5" customHeight="1">
      <c r="A3" s="1"/>
      <c r="B3" s="1"/>
      <c r="C3" s="39" t="s">
        <v>1</v>
      </c>
      <c r="D3" s="40"/>
      <c r="E3" s="40"/>
      <c r="F3" s="40"/>
      <c r="G3" s="41"/>
      <c r="H3" s="8"/>
      <c r="I3" s="8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3"/>
      <c r="B4" s="4" t="s">
        <v>2</v>
      </c>
      <c r="C4" s="43" t="s">
        <v>3</v>
      </c>
      <c r="D4" s="41"/>
      <c r="E4" s="9" t="s">
        <v>4</v>
      </c>
      <c r="F4" s="43" t="s">
        <v>5</v>
      </c>
      <c r="G4" s="41"/>
      <c r="H4" s="10" t="s">
        <v>6</v>
      </c>
      <c r="I4" s="43" t="s">
        <v>7</v>
      </c>
      <c r="J4" s="44"/>
      <c r="K4" s="11"/>
      <c r="L4" s="12"/>
      <c r="M4" s="3"/>
      <c r="N4" s="3"/>
      <c r="O4" s="3"/>
      <c r="P4" s="3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 customHeight="1"/>
    <row r="6" spans="1:26" ht="30" customHeight="1">
      <c r="B6" s="50" t="s">
        <v>9</v>
      </c>
      <c r="C6" s="52"/>
      <c r="D6" s="53"/>
      <c r="E6" s="53"/>
      <c r="F6" s="53"/>
      <c r="G6" s="53"/>
      <c r="H6" s="53"/>
      <c r="I6" s="54"/>
    </row>
    <row r="7" spans="1:26" ht="30" customHeight="1">
      <c r="B7" s="51"/>
      <c r="C7" s="55"/>
      <c r="D7" s="56"/>
      <c r="E7" s="56"/>
      <c r="F7" s="56"/>
      <c r="G7" s="56"/>
      <c r="H7" s="56"/>
      <c r="I7" s="57"/>
    </row>
    <row r="8" spans="1:26" ht="18.75" customHeight="1">
      <c r="H8" s="13"/>
      <c r="I8" s="13"/>
    </row>
    <row r="9" spans="1:26" ht="30.75" customHeight="1">
      <c r="B9" s="46" t="s">
        <v>10</v>
      </c>
      <c r="C9" s="47"/>
      <c r="E9" s="46" t="s">
        <v>11</v>
      </c>
      <c r="F9" s="47"/>
      <c r="H9" s="48" t="s">
        <v>12</v>
      </c>
      <c r="I9" s="47"/>
      <c r="K9" s="49"/>
      <c r="L9" s="38"/>
    </row>
    <row r="10" spans="1:26" ht="30" customHeight="1">
      <c r="B10" s="14" t="s">
        <v>13</v>
      </c>
      <c r="C10" s="14" t="s">
        <v>14</v>
      </c>
      <c r="D10" s="15"/>
      <c r="E10" s="14" t="s">
        <v>13</v>
      </c>
      <c r="F10" s="14" t="s">
        <v>14</v>
      </c>
      <c r="G10" s="15"/>
      <c r="H10" s="14" t="s">
        <v>13</v>
      </c>
      <c r="I10" s="14" t="s">
        <v>14</v>
      </c>
    </row>
    <row r="11" spans="1:26" ht="30" customHeight="1">
      <c r="B11" s="16"/>
      <c r="C11" s="16"/>
      <c r="D11" s="17"/>
      <c r="E11" s="16"/>
      <c r="F11" s="16"/>
      <c r="G11" s="17"/>
      <c r="H11" s="16"/>
      <c r="I11" s="16"/>
    </row>
    <row r="12" spans="1:26" ht="30" customHeight="1">
      <c r="B12" s="16"/>
      <c r="C12" s="16"/>
      <c r="D12" s="17"/>
      <c r="E12" s="16"/>
      <c r="F12" s="16"/>
      <c r="G12" s="17"/>
      <c r="H12" s="16"/>
      <c r="I12" s="16"/>
    </row>
    <row r="13" spans="1:26" ht="30" customHeight="1">
      <c r="B13" s="16"/>
      <c r="C13" s="16"/>
      <c r="D13" s="17"/>
      <c r="E13" s="16"/>
      <c r="F13" s="16"/>
      <c r="G13" s="17"/>
      <c r="H13" s="16"/>
      <c r="I13" s="16"/>
    </row>
    <row r="14" spans="1:26" ht="30" customHeight="1">
      <c r="B14" s="16"/>
      <c r="C14" s="16"/>
      <c r="D14" s="17"/>
      <c r="E14" s="16"/>
      <c r="F14" s="16"/>
      <c r="G14" s="17"/>
      <c r="H14" s="16"/>
      <c r="I14" s="16"/>
    </row>
    <row r="15" spans="1:26" ht="30" customHeight="1">
      <c r="B15" s="14" t="s">
        <v>15</v>
      </c>
      <c r="C15" s="18" t="str">
        <f>IF(ISERROR(AVERAGE(C11:C14)),"",AVERAGE(C11:C14))</f>
        <v/>
      </c>
      <c r="D15" s="17"/>
      <c r="E15" s="14" t="s">
        <v>16</v>
      </c>
      <c r="F15" s="18" t="str">
        <f>IF(ISERROR(AVERAGE(F11:F14)),"",AVERAGE(F11:F14))</f>
        <v/>
      </c>
      <c r="G15" s="17"/>
      <c r="H15" s="14" t="s">
        <v>16</v>
      </c>
      <c r="I15" s="18" t="str">
        <f>IF(ISERROR(AVERAGE(I11:I14)),"",AVERAGE(I11:I14))</f>
        <v/>
      </c>
    </row>
    <row r="16" spans="1:26" ht="21" customHeight="1"/>
    <row r="17" spans="2:9" ht="30.75" customHeight="1">
      <c r="B17" s="46" t="s">
        <v>17</v>
      </c>
      <c r="C17" s="47"/>
      <c r="D17" s="17"/>
      <c r="E17" s="46" t="s">
        <v>18</v>
      </c>
      <c r="F17" s="47"/>
      <c r="G17" s="17"/>
      <c r="H17" s="46" t="s">
        <v>19</v>
      </c>
      <c r="I17" s="47"/>
    </row>
    <row r="18" spans="2:9" ht="30" customHeight="1">
      <c r="B18" s="14" t="s">
        <v>13</v>
      </c>
      <c r="C18" s="14" t="s">
        <v>14</v>
      </c>
      <c r="D18" s="15"/>
      <c r="E18" s="14" t="s">
        <v>13</v>
      </c>
      <c r="F18" s="14" t="s">
        <v>14</v>
      </c>
      <c r="G18" s="15"/>
      <c r="H18" s="14" t="s">
        <v>13</v>
      </c>
      <c r="I18" s="14" t="s">
        <v>14</v>
      </c>
    </row>
    <row r="19" spans="2:9" ht="30" customHeight="1">
      <c r="B19" s="16"/>
      <c r="C19" s="16"/>
      <c r="D19" s="17"/>
      <c r="E19" s="16"/>
      <c r="F19" s="16"/>
      <c r="G19" s="17"/>
      <c r="H19" s="16"/>
      <c r="I19" s="16"/>
    </row>
    <row r="20" spans="2:9" ht="30" customHeight="1">
      <c r="B20" s="16"/>
      <c r="C20" s="16"/>
      <c r="D20" s="17"/>
      <c r="E20" s="16"/>
      <c r="F20" s="16"/>
      <c r="G20" s="17"/>
      <c r="H20" s="16"/>
      <c r="I20" s="16"/>
    </row>
    <row r="21" spans="2:9" ht="30" customHeight="1">
      <c r="B21" s="16"/>
      <c r="C21" s="16"/>
      <c r="D21" s="17"/>
      <c r="E21" s="16"/>
      <c r="F21" s="16"/>
      <c r="G21" s="17"/>
      <c r="H21" s="16"/>
      <c r="I21" s="16"/>
    </row>
    <row r="22" spans="2:9" ht="30" customHeight="1">
      <c r="B22" s="16"/>
      <c r="C22" s="16"/>
      <c r="D22" s="17"/>
      <c r="E22" s="16"/>
      <c r="F22" s="16"/>
      <c r="G22" s="17"/>
      <c r="H22" s="16"/>
      <c r="I22" s="16"/>
    </row>
    <row r="23" spans="2:9" ht="30" customHeight="1">
      <c r="B23" s="14" t="s">
        <v>15</v>
      </c>
      <c r="C23" s="18" t="str">
        <f>IF(ISERROR(AVERAGE(C19:C22)),"",AVERAGE(C19:C22))</f>
        <v/>
      </c>
      <c r="D23" s="17"/>
      <c r="E23" s="14" t="s">
        <v>15</v>
      </c>
      <c r="F23" s="18" t="str">
        <f>IF(ISERROR(AVERAGE(F19:F22)),"",AVERAGE(F19:F22))</f>
        <v/>
      </c>
      <c r="G23" s="17"/>
      <c r="H23" s="14" t="s">
        <v>15</v>
      </c>
      <c r="I23" s="18" t="str">
        <f>IF(ISERROR(AVERAGE(I19:I22)),"",AVERAGE(I19:I22))</f>
        <v/>
      </c>
    </row>
    <row r="24" spans="2:9" ht="15.75" customHeight="1">
      <c r="B24" s="17"/>
      <c r="C24" s="17"/>
      <c r="D24" s="17"/>
      <c r="E24" s="17"/>
      <c r="F24" s="17"/>
      <c r="G24" s="17"/>
      <c r="H24" s="17"/>
      <c r="I24" s="17"/>
    </row>
    <row r="25" spans="2:9" ht="15.75" customHeight="1"/>
    <row r="26" spans="2:9" ht="15.75" customHeight="1"/>
    <row r="27" spans="2:9" ht="15.75" customHeight="1"/>
    <row r="28" spans="2:9" ht="24.75" customHeight="1"/>
    <row r="29" spans="2:9" ht="24.75" hidden="1" customHeight="1">
      <c r="B29" s="19">
        <v>1</v>
      </c>
    </row>
    <row r="30" spans="2:9" ht="24.75" hidden="1" customHeight="1">
      <c r="B30" s="19">
        <v>2</v>
      </c>
    </row>
    <row r="31" spans="2:9" ht="24.75" hidden="1" customHeight="1">
      <c r="B31" s="19">
        <v>3</v>
      </c>
    </row>
    <row r="32" spans="2:9" ht="24.75" hidden="1" customHeight="1">
      <c r="B32" s="19">
        <v>4</v>
      </c>
    </row>
    <row r="33" spans="2:2" ht="24.75" hidden="1" customHeight="1">
      <c r="B33" s="19">
        <v>5</v>
      </c>
    </row>
    <row r="34" spans="2:2" ht="15.75" hidden="1" customHeight="1">
      <c r="B34" s="19">
        <v>6</v>
      </c>
    </row>
    <row r="35" spans="2:2" ht="24.75" hidden="1" customHeight="1">
      <c r="B35" s="19">
        <v>7</v>
      </c>
    </row>
    <row r="36" spans="2:2" ht="24.75" hidden="1" customHeight="1">
      <c r="B36" s="19">
        <v>8</v>
      </c>
    </row>
    <row r="37" spans="2:2" ht="24.75" hidden="1" customHeight="1">
      <c r="B37" s="19">
        <v>9</v>
      </c>
    </row>
    <row r="38" spans="2:2" ht="24.75" hidden="1" customHeight="1">
      <c r="B38" s="19">
        <v>10</v>
      </c>
    </row>
    <row r="39" spans="2:2" ht="24.75" customHeight="1"/>
    <row r="40" spans="2:2" ht="24.75" customHeight="1"/>
    <row r="41" spans="2:2" ht="15.75" customHeight="1"/>
    <row r="42" spans="2:2" ht="15.75" customHeight="1"/>
    <row r="43" spans="2:2" ht="15.75" customHeight="1"/>
    <row r="44" spans="2:2" ht="15.75" customHeight="1"/>
    <row r="45" spans="2:2" ht="15.75" customHeight="1"/>
    <row r="46" spans="2:2" ht="15.75" customHeight="1"/>
    <row r="47" spans="2:2" ht="15.75" customHeight="1"/>
    <row r="48" spans="2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6:B7"/>
    <mergeCell ref="C6:I7"/>
    <mergeCell ref="C2:D2"/>
    <mergeCell ref="C3:G3"/>
    <mergeCell ref="C4:D4"/>
    <mergeCell ref="F4:G4"/>
    <mergeCell ref="I4:J4"/>
    <mergeCell ref="B9:C9"/>
    <mergeCell ref="E9:F9"/>
    <mergeCell ref="H9:I9"/>
    <mergeCell ref="K9:L9"/>
    <mergeCell ref="B17:C17"/>
    <mergeCell ref="E17:F17"/>
    <mergeCell ref="H17:I17"/>
  </mergeCells>
  <dataValidations count="1">
    <dataValidation type="list" allowBlank="1" showInputMessage="1" showErrorMessage="1" prompt=" - " sqref="C11:C14 F11:F14 I11:I14 C19:C22 F19:F22 I19:I22">
      <formula1>$B$29:$B$38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1" width="8.42578125" customWidth="1"/>
    <col min="2" max="44" width="4.140625" customWidth="1"/>
    <col min="45" max="45" width="4.42578125" customWidth="1"/>
    <col min="46" max="49" width="8.42578125" customWidth="1"/>
  </cols>
  <sheetData>
    <row r="1" spans="1:49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>
      <c r="A2" s="1"/>
      <c r="B2" s="59" t="s">
        <v>0</v>
      </c>
      <c r="C2" s="40"/>
      <c r="D2" s="40"/>
      <c r="E2" s="4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ht="55.5" customHeight="1">
      <c r="A3" s="1"/>
      <c r="B3" s="1"/>
      <c r="C3" s="39"/>
      <c r="D3" s="40"/>
      <c r="E3" s="40"/>
      <c r="F3" s="40"/>
      <c r="G3" s="40"/>
      <c r="H3" s="40"/>
      <c r="I3" s="41"/>
      <c r="J3" s="1"/>
      <c r="K3" s="39" t="s">
        <v>1</v>
      </c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1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ht="27.75" customHeight="1">
      <c r="A4" s="3"/>
      <c r="B4" s="58" t="s">
        <v>2</v>
      </c>
      <c r="C4" s="40"/>
      <c r="D4" s="40"/>
      <c r="E4" s="40"/>
      <c r="F4" s="41"/>
      <c r="G4" s="43" t="s">
        <v>3</v>
      </c>
      <c r="H4" s="40"/>
      <c r="I4" s="40"/>
      <c r="J4" s="40"/>
      <c r="K4" s="40"/>
      <c r="L4" s="41"/>
      <c r="M4" s="43" t="s">
        <v>4</v>
      </c>
      <c r="N4" s="40"/>
      <c r="O4" s="40"/>
      <c r="P4" s="40"/>
      <c r="Q4" s="40"/>
      <c r="R4" s="41"/>
      <c r="S4" s="60" t="s">
        <v>5</v>
      </c>
      <c r="T4" s="40"/>
      <c r="U4" s="40"/>
      <c r="V4" s="40"/>
      <c r="W4" s="40"/>
      <c r="X4" s="40"/>
      <c r="Y4" s="40"/>
      <c r="Z4" s="44"/>
      <c r="AA4" s="43" t="s">
        <v>6</v>
      </c>
      <c r="AB4" s="40"/>
      <c r="AC4" s="40"/>
      <c r="AD4" s="40"/>
      <c r="AE4" s="40"/>
      <c r="AF4" s="40"/>
      <c r="AG4" s="44"/>
      <c r="AH4" s="58" t="s">
        <v>7</v>
      </c>
      <c r="AI4" s="40"/>
      <c r="AJ4" s="40"/>
      <c r="AK4" s="40"/>
      <c r="AL4" s="40"/>
      <c r="AM4" s="44"/>
      <c r="AN4" s="43"/>
      <c r="AO4" s="41"/>
      <c r="AP4" s="5"/>
      <c r="AQ4" s="5"/>
      <c r="AR4" s="58"/>
      <c r="AS4" s="41"/>
      <c r="AT4" s="3"/>
      <c r="AU4" s="5"/>
      <c r="AV4" s="5"/>
      <c r="AW4" s="5"/>
    </row>
    <row r="5" spans="1:49" ht="24" customHeight="1"/>
    <row r="6" spans="1:49" ht="23.25" customHeight="1">
      <c r="A6" s="20"/>
      <c r="B6" s="71" t="s">
        <v>20</v>
      </c>
      <c r="C6" s="38"/>
      <c r="D6" s="38"/>
      <c r="E6" s="38"/>
      <c r="F6" s="38"/>
      <c r="G6" s="21"/>
      <c r="H6" s="21"/>
      <c r="I6" s="21"/>
      <c r="J6" s="21"/>
      <c r="K6" s="21"/>
      <c r="L6" s="21"/>
      <c r="M6" s="21"/>
      <c r="N6" s="21"/>
      <c r="O6" s="71" t="s">
        <v>21</v>
      </c>
      <c r="P6" s="38"/>
      <c r="Q6" s="38"/>
      <c r="R6" s="21"/>
      <c r="S6" s="21"/>
      <c r="T6" s="21"/>
      <c r="U6" s="21"/>
      <c r="V6" s="21"/>
      <c r="W6" s="21"/>
      <c r="X6" s="21"/>
      <c r="Y6" s="21"/>
      <c r="Z6" s="21"/>
      <c r="AA6" s="21"/>
      <c r="AB6" s="22" t="s">
        <v>22</v>
      </c>
      <c r="AC6" s="22"/>
      <c r="AD6" s="22"/>
      <c r="AE6" s="22"/>
      <c r="AF6" s="20"/>
      <c r="AG6" s="20"/>
      <c r="AH6" s="23"/>
      <c r="AI6" s="23"/>
      <c r="AJ6" s="23"/>
      <c r="AK6" s="23"/>
      <c r="AL6" s="23"/>
      <c r="AM6" s="20"/>
      <c r="AN6" s="23"/>
      <c r="AO6" s="23"/>
      <c r="AP6" s="23"/>
      <c r="AQ6" s="23"/>
      <c r="AR6" s="23"/>
      <c r="AS6" s="23"/>
      <c r="AT6" s="23"/>
      <c r="AU6" s="23"/>
      <c r="AV6" s="23"/>
      <c r="AW6" s="23"/>
    </row>
    <row r="7" spans="1:49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</row>
    <row r="8" spans="1:49" ht="16.5" customHeight="1">
      <c r="B8" s="61">
        <f>'2. Causa e Efeito'!B11</f>
        <v>0</v>
      </c>
      <c r="C8" s="53"/>
      <c r="D8" s="53"/>
      <c r="E8" s="53"/>
      <c r="F8" s="53"/>
      <c r="G8" s="53"/>
      <c r="H8" s="54"/>
      <c r="I8" s="25"/>
      <c r="J8" s="25"/>
      <c r="K8" s="25"/>
      <c r="L8" s="25"/>
      <c r="M8" s="61">
        <f>'2. Causa e Efeito'!E11</f>
        <v>0</v>
      </c>
      <c r="N8" s="53"/>
      <c r="O8" s="53"/>
      <c r="P8" s="53"/>
      <c r="Q8" s="53"/>
      <c r="R8" s="53"/>
      <c r="S8" s="54"/>
      <c r="T8" s="25"/>
      <c r="U8" s="26"/>
      <c r="V8" s="25"/>
      <c r="W8" s="25"/>
      <c r="X8" s="25"/>
      <c r="Y8" s="25"/>
      <c r="Z8" s="25"/>
      <c r="AA8" s="61">
        <f>'2. Causa e Efeito'!H11</f>
        <v>0</v>
      </c>
      <c r="AB8" s="53"/>
      <c r="AC8" s="53"/>
      <c r="AD8" s="53"/>
      <c r="AE8" s="53"/>
      <c r="AF8" s="53"/>
      <c r="AG8" s="54"/>
      <c r="AH8" s="25"/>
      <c r="AI8" s="25"/>
      <c r="AJ8" s="25"/>
      <c r="AK8" s="25"/>
      <c r="AL8" s="25"/>
      <c r="AM8" s="24"/>
      <c r="AN8" s="24"/>
      <c r="AO8" s="24"/>
      <c r="AP8" s="24"/>
      <c r="AQ8" s="24"/>
      <c r="AR8" s="24"/>
      <c r="AS8" s="24"/>
      <c r="AT8" s="24"/>
      <c r="AU8" s="27"/>
      <c r="AV8" s="24"/>
      <c r="AW8" s="24"/>
    </row>
    <row r="9" spans="1:49" ht="16.5" customHeight="1">
      <c r="B9" s="55"/>
      <c r="C9" s="56"/>
      <c r="D9" s="56"/>
      <c r="E9" s="56"/>
      <c r="F9" s="56"/>
      <c r="G9" s="56"/>
      <c r="H9" s="57"/>
      <c r="I9" s="25"/>
      <c r="J9" s="25"/>
      <c r="K9" s="25"/>
      <c r="L9" s="25"/>
      <c r="M9" s="55"/>
      <c r="N9" s="56"/>
      <c r="O9" s="56"/>
      <c r="P9" s="56"/>
      <c r="Q9" s="56"/>
      <c r="R9" s="56"/>
      <c r="S9" s="57"/>
      <c r="T9" s="25"/>
      <c r="U9" s="26"/>
      <c r="V9" s="25"/>
      <c r="W9" s="25"/>
      <c r="X9" s="25"/>
      <c r="Y9" s="25"/>
      <c r="Z9" s="25"/>
      <c r="AA9" s="55"/>
      <c r="AB9" s="56"/>
      <c r="AC9" s="56"/>
      <c r="AD9" s="56"/>
      <c r="AE9" s="56"/>
      <c r="AF9" s="56"/>
      <c r="AG9" s="57"/>
      <c r="AH9" s="25"/>
      <c r="AI9" s="25"/>
      <c r="AJ9" s="25"/>
      <c r="AK9" s="25"/>
      <c r="AL9" s="25"/>
      <c r="AM9" s="24"/>
      <c r="AN9" s="24"/>
      <c r="AO9" s="24"/>
      <c r="AP9" s="24"/>
      <c r="AQ9" s="24"/>
      <c r="AR9" s="24"/>
      <c r="AS9" s="24"/>
      <c r="AT9" s="24"/>
      <c r="AU9" s="27"/>
      <c r="AV9" s="24"/>
      <c r="AW9" s="24"/>
    </row>
    <row r="10" spans="1:49" ht="16.5" customHeight="1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4"/>
      <c r="AN10" s="24"/>
      <c r="AO10" s="24"/>
      <c r="AP10" s="24"/>
      <c r="AQ10" s="24"/>
      <c r="AR10" s="24"/>
      <c r="AS10" s="24"/>
      <c r="AT10" s="24"/>
      <c r="AU10" s="27"/>
      <c r="AV10" s="24"/>
      <c r="AW10" s="24"/>
    </row>
    <row r="11" spans="1:49" ht="16.5" customHeight="1">
      <c r="B11" s="25"/>
      <c r="C11" s="61">
        <f>'2. Causa e Efeito'!B12</f>
        <v>0</v>
      </c>
      <c r="D11" s="53"/>
      <c r="E11" s="53"/>
      <c r="F11" s="53"/>
      <c r="G11" s="53"/>
      <c r="H11" s="53"/>
      <c r="I11" s="54"/>
      <c r="J11" s="25"/>
      <c r="K11" s="25"/>
      <c r="L11" s="25"/>
      <c r="M11" s="25"/>
      <c r="N11" s="25"/>
      <c r="O11" s="61">
        <f>'2. Causa e Efeito'!E12</f>
        <v>0</v>
      </c>
      <c r="P11" s="53"/>
      <c r="Q11" s="53"/>
      <c r="R11" s="53"/>
      <c r="S11" s="53"/>
      <c r="T11" s="53"/>
      <c r="U11" s="54"/>
      <c r="V11" s="25"/>
      <c r="W11" s="25"/>
      <c r="X11" s="25"/>
      <c r="Y11" s="25"/>
      <c r="Z11" s="25"/>
      <c r="AA11" s="26"/>
      <c r="AB11" s="26"/>
      <c r="AC11" s="61">
        <f>'2. Causa e Efeito'!H12</f>
        <v>0</v>
      </c>
      <c r="AD11" s="53"/>
      <c r="AE11" s="53"/>
      <c r="AF11" s="53"/>
      <c r="AG11" s="53"/>
      <c r="AH11" s="53"/>
      <c r="AI11" s="54"/>
      <c r="AJ11" s="25"/>
      <c r="AK11" s="25"/>
      <c r="AL11" s="25"/>
      <c r="AN11" s="24"/>
      <c r="AO11" s="24"/>
      <c r="AP11" s="24"/>
      <c r="AQ11" s="24"/>
      <c r="AR11" s="24"/>
      <c r="AS11" s="24"/>
      <c r="AT11" s="24"/>
      <c r="AU11" s="27"/>
      <c r="AV11" s="24"/>
      <c r="AW11" s="24"/>
    </row>
    <row r="12" spans="1:49" ht="16.5" customHeight="1">
      <c r="B12" s="25"/>
      <c r="C12" s="55"/>
      <c r="D12" s="56"/>
      <c r="E12" s="56"/>
      <c r="F12" s="56"/>
      <c r="G12" s="56"/>
      <c r="H12" s="56"/>
      <c r="I12" s="57"/>
      <c r="J12" s="25"/>
      <c r="K12" s="25"/>
      <c r="L12" s="25"/>
      <c r="M12" s="25"/>
      <c r="N12" s="25"/>
      <c r="O12" s="55"/>
      <c r="P12" s="56"/>
      <c r="Q12" s="56"/>
      <c r="R12" s="56"/>
      <c r="S12" s="56"/>
      <c r="T12" s="56"/>
      <c r="U12" s="57"/>
      <c r="V12" s="25"/>
      <c r="W12" s="25"/>
      <c r="X12" s="25"/>
      <c r="Y12" s="25"/>
      <c r="Z12" s="25"/>
      <c r="AA12" s="26"/>
      <c r="AB12" s="26"/>
      <c r="AC12" s="55"/>
      <c r="AD12" s="56"/>
      <c r="AE12" s="56"/>
      <c r="AF12" s="56"/>
      <c r="AG12" s="56"/>
      <c r="AH12" s="56"/>
      <c r="AI12" s="57"/>
      <c r="AJ12" s="25"/>
      <c r="AK12" s="25"/>
      <c r="AL12" s="25"/>
      <c r="AN12" s="24"/>
      <c r="AO12" s="24"/>
      <c r="AP12" s="24"/>
      <c r="AQ12" s="24"/>
      <c r="AR12" s="24"/>
      <c r="AS12" s="24"/>
      <c r="AT12" s="62" t="s">
        <v>23</v>
      </c>
      <c r="AU12" s="63"/>
      <c r="AV12" s="63"/>
      <c r="AW12" s="64"/>
    </row>
    <row r="13" spans="1:49" ht="16.5" customHeight="1"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4"/>
      <c r="AN13" s="24"/>
      <c r="AO13" s="24"/>
      <c r="AP13" s="24"/>
      <c r="AQ13" s="24"/>
      <c r="AR13" s="24"/>
      <c r="AS13" s="24"/>
      <c r="AT13" s="65"/>
      <c r="AU13" s="66"/>
      <c r="AV13" s="66"/>
      <c r="AW13" s="67"/>
    </row>
    <row r="14" spans="1:49" ht="16.5" customHeight="1">
      <c r="B14" s="25"/>
      <c r="C14" s="25"/>
      <c r="D14" s="61">
        <f>'2. Causa e Efeito'!B13</f>
        <v>0</v>
      </c>
      <c r="E14" s="53"/>
      <c r="F14" s="53"/>
      <c r="G14" s="53"/>
      <c r="H14" s="53"/>
      <c r="I14" s="53"/>
      <c r="J14" s="54"/>
      <c r="K14" s="25"/>
      <c r="L14" s="25"/>
      <c r="M14" s="25"/>
      <c r="N14" s="25"/>
      <c r="O14" s="26"/>
      <c r="P14" s="26"/>
      <c r="Q14" s="61">
        <f>'2. Causa e Efeito'!E13</f>
        <v>0</v>
      </c>
      <c r="R14" s="53"/>
      <c r="S14" s="53"/>
      <c r="T14" s="53"/>
      <c r="U14" s="53"/>
      <c r="V14" s="53"/>
      <c r="W14" s="54"/>
      <c r="X14" s="25"/>
      <c r="Y14" s="25"/>
      <c r="Z14" s="25"/>
      <c r="AA14" s="25"/>
      <c r="AB14" s="26"/>
      <c r="AC14" s="26"/>
      <c r="AD14" s="26"/>
      <c r="AE14" s="61">
        <f>'2. Causa e Efeito'!H13</f>
        <v>0</v>
      </c>
      <c r="AF14" s="53"/>
      <c r="AG14" s="53"/>
      <c r="AH14" s="53"/>
      <c r="AI14" s="53"/>
      <c r="AJ14" s="53"/>
      <c r="AK14" s="54"/>
      <c r="AL14" s="25"/>
      <c r="AO14" s="24"/>
      <c r="AP14" s="24"/>
      <c r="AQ14" s="24"/>
      <c r="AR14" s="24"/>
      <c r="AS14" s="24"/>
      <c r="AT14" s="24"/>
      <c r="AU14" s="24"/>
      <c r="AV14" s="24"/>
      <c r="AW14" s="24"/>
    </row>
    <row r="15" spans="1:49" ht="16.5" customHeight="1">
      <c r="B15" s="25"/>
      <c r="C15" s="25"/>
      <c r="D15" s="55"/>
      <c r="E15" s="56"/>
      <c r="F15" s="56"/>
      <c r="G15" s="56"/>
      <c r="H15" s="56"/>
      <c r="I15" s="56"/>
      <c r="J15" s="57"/>
      <c r="K15" s="25"/>
      <c r="L15" s="25"/>
      <c r="M15" s="25"/>
      <c r="N15" s="25"/>
      <c r="O15" s="28"/>
      <c r="P15" s="26"/>
      <c r="Q15" s="55"/>
      <c r="R15" s="56"/>
      <c r="S15" s="56"/>
      <c r="T15" s="56"/>
      <c r="U15" s="56"/>
      <c r="V15" s="56"/>
      <c r="W15" s="57"/>
      <c r="X15" s="25"/>
      <c r="Y15" s="25"/>
      <c r="Z15" s="25"/>
      <c r="AA15" s="25"/>
      <c r="AB15" s="28"/>
      <c r="AC15" s="26"/>
      <c r="AD15" s="26"/>
      <c r="AE15" s="55"/>
      <c r="AF15" s="56"/>
      <c r="AG15" s="56"/>
      <c r="AH15" s="56"/>
      <c r="AI15" s="56"/>
      <c r="AJ15" s="56"/>
      <c r="AK15" s="57"/>
      <c r="AL15" s="25"/>
      <c r="AO15" s="24"/>
      <c r="AP15" s="24"/>
      <c r="AQ15" s="24"/>
      <c r="AR15" s="24"/>
      <c r="AS15" s="24"/>
      <c r="AT15" s="68"/>
      <c r="AU15" s="53"/>
      <c r="AV15" s="53"/>
      <c r="AW15" s="54"/>
    </row>
    <row r="16" spans="1:49" ht="16.5" customHeight="1">
      <c r="B16" s="25"/>
      <c r="C16" s="25"/>
      <c r="D16" s="28"/>
      <c r="E16" s="28"/>
      <c r="F16" s="28"/>
      <c r="G16" s="28"/>
      <c r="H16" s="28"/>
      <c r="I16" s="28"/>
      <c r="J16" s="28"/>
      <c r="K16" s="25"/>
      <c r="L16" s="25"/>
      <c r="M16" s="25"/>
      <c r="N16" s="25"/>
      <c r="O16" s="28"/>
      <c r="P16" s="26"/>
      <c r="Q16" s="28"/>
      <c r="R16" s="28"/>
      <c r="S16" s="28"/>
      <c r="T16" s="28"/>
      <c r="U16" s="28"/>
      <c r="V16" s="28"/>
      <c r="W16" s="28"/>
      <c r="X16" s="25"/>
      <c r="Y16" s="25"/>
      <c r="Z16" s="25"/>
      <c r="AA16" s="25"/>
      <c r="AB16" s="28"/>
      <c r="AC16" s="26"/>
      <c r="AD16" s="26"/>
      <c r="AE16" s="28"/>
      <c r="AF16" s="28"/>
      <c r="AG16" s="28"/>
      <c r="AH16" s="28"/>
      <c r="AI16" s="28"/>
      <c r="AJ16" s="28"/>
      <c r="AK16" s="28"/>
      <c r="AL16" s="25"/>
      <c r="AO16" s="24"/>
      <c r="AP16" s="24"/>
      <c r="AQ16" s="24"/>
      <c r="AR16" s="24"/>
      <c r="AS16" s="24"/>
      <c r="AT16" s="69"/>
      <c r="AU16" s="38"/>
      <c r="AV16" s="38"/>
      <c r="AW16" s="70"/>
    </row>
    <row r="17" spans="2:49" ht="16.5" customHeight="1">
      <c r="B17" s="25"/>
      <c r="C17" s="25"/>
      <c r="D17" s="28"/>
      <c r="E17" s="61">
        <f>'2. Causa e Efeito'!B14</f>
        <v>0</v>
      </c>
      <c r="F17" s="53"/>
      <c r="G17" s="53"/>
      <c r="H17" s="53"/>
      <c r="I17" s="53"/>
      <c r="J17" s="53"/>
      <c r="K17" s="54"/>
      <c r="L17" s="25"/>
      <c r="M17" s="25"/>
      <c r="N17" s="25"/>
      <c r="O17" s="28"/>
      <c r="P17" s="26"/>
      <c r="Q17" s="28"/>
      <c r="R17" s="61">
        <f>'2. Causa e Efeito'!E14</f>
        <v>0</v>
      </c>
      <c r="S17" s="53"/>
      <c r="T17" s="53"/>
      <c r="U17" s="53"/>
      <c r="V17" s="53"/>
      <c r="W17" s="53"/>
      <c r="X17" s="54"/>
      <c r="Y17" s="28"/>
      <c r="Z17" s="25"/>
      <c r="AA17" s="25"/>
      <c r="AB17" s="28"/>
      <c r="AC17" s="26"/>
      <c r="AD17" s="26"/>
      <c r="AE17" s="28"/>
      <c r="AF17" s="61">
        <f>'2. Causa e Efeito'!H14</f>
        <v>0</v>
      </c>
      <c r="AG17" s="53"/>
      <c r="AH17" s="53"/>
      <c r="AI17" s="53"/>
      <c r="AJ17" s="53"/>
      <c r="AK17" s="53"/>
      <c r="AL17" s="54"/>
      <c r="AO17" s="24"/>
      <c r="AP17" s="24"/>
      <c r="AQ17" s="24"/>
      <c r="AR17" s="24"/>
      <c r="AS17" s="24"/>
      <c r="AT17" s="69"/>
      <c r="AU17" s="38"/>
      <c r="AV17" s="38"/>
      <c r="AW17" s="70"/>
    </row>
    <row r="18" spans="2:49" ht="16.5" customHeight="1">
      <c r="B18" s="28"/>
      <c r="C18" s="26"/>
      <c r="D18" s="26"/>
      <c r="E18" s="55"/>
      <c r="F18" s="56"/>
      <c r="G18" s="56"/>
      <c r="H18" s="56"/>
      <c r="I18" s="56"/>
      <c r="J18" s="56"/>
      <c r="K18" s="57"/>
      <c r="L18" s="25"/>
      <c r="M18" s="26"/>
      <c r="N18" s="26"/>
      <c r="O18" s="26"/>
      <c r="P18" s="26"/>
      <c r="Q18" s="26"/>
      <c r="R18" s="55"/>
      <c r="S18" s="56"/>
      <c r="T18" s="56"/>
      <c r="U18" s="56"/>
      <c r="V18" s="56"/>
      <c r="W18" s="56"/>
      <c r="X18" s="57"/>
      <c r="Y18" s="28"/>
      <c r="Z18" s="28"/>
      <c r="AA18" s="28"/>
      <c r="AB18" s="28"/>
      <c r="AC18" s="26"/>
      <c r="AD18" s="26"/>
      <c r="AE18" s="26"/>
      <c r="AF18" s="55"/>
      <c r="AG18" s="56"/>
      <c r="AH18" s="56"/>
      <c r="AI18" s="56"/>
      <c r="AJ18" s="56"/>
      <c r="AK18" s="56"/>
      <c r="AL18" s="57"/>
      <c r="AN18" s="24"/>
      <c r="AO18" s="24"/>
      <c r="AP18" s="24"/>
      <c r="AQ18" s="24"/>
      <c r="AR18" s="24"/>
      <c r="AS18" s="24"/>
      <c r="AT18" s="69"/>
      <c r="AU18" s="38"/>
      <c r="AV18" s="38"/>
      <c r="AW18" s="70"/>
    </row>
    <row r="19" spans="2:49" ht="16.5" customHeight="1"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4"/>
      <c r="AN19" s="24"/>
      <c r="AO19" s="24"/>
      <c r="AP19" s="24"/>
      <c r="AQ19" s="24"/>
      <c r="AR19" s="24"/>
      <c r="AS19" s="24"/>
      <c r="AT19" s="69"/>
      <c r="AU19" s="38"/>
      <c r="AV19" s="38"/>
      <c r="AW19" s="70"/>
    </row>
    <row r="20" spans="2:49" ht="16.5" customHeight="1">
      <c r="B20" s="26"/>
      <c r="C20" s="26"/>
      <c r="D20" s="26"/>
      <c r="E20" s="26"/>
      <c r="F20" s="26"/>
      <c r="G20" s="26"/>
      <c r="H20" s="29"/>
      <c r="I20" s="26"/>
      <c r="J20" s="26"/>
      <c r="K20" s="26"/>
      <c r="L20" s="26"/>
      <c r="M20" s="26"/>
      <c r="N20" s="29"/>
      <c r="O20" s="26"/>
      <c r="P20" s="26"/>
      <c r="Q20" s="26"/>
      <c r="R20" s="29"/>
      <c r="S20" s="26"/>
      <c r="T20" s="26"/>
      <c r="U20" s="26"/>
      <c r="V20" s="26"/>
      <c r="W20" s="29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9"/>
      <c r="AI20" s="26"/>
      <c r="AJ20" s="26"/>
      <c r="AK20" s="26"/>
      <c r="AL20" s="26"/>
      <c r="AM20" s="24"/>
      <c r="AN20" s="30"/>
      <c r="AO20" s="24"/>
      <c r="AP20" s="24"/>
      <c r="AQ20" s="24"/>
      <c r="AR20" s="30"/>
      <c r="AS20" s="24"/>
      <c r="AT20" s="69"/>
      <c r="AU20" s="38"/>
      <c r="AV20" s="38"/>
      <c r="AW20" s="70"/>
    </row>
    <row r="21" spans="2:49" ht="16.5" customHeight="1">
      <c r="B21" s="25"/>
      <c r="C21" s="25"/>
      <c r="D21" s="25"/>
      <c r="E21" s="25"/>
      <c r="F21" s="61">
        <f>'2. Causa e Efeito'!B19</f>
        <v>0</v>
      </c>
      <c r="G21" s="53"/>
      <c r="H21" s="53"/>
      <c r="I21" s="53"/>
      <c r="J21" s="53"/>
      <c r="K21" s="53"/>
      <c r="L21" s="54"/>
      <c r="M21" s="25"/>
      <c r="N21" s="25"/>
      <c r="O21" s="25"/>
      <c r="P21" s="25"/>
      <c r="Q21" s="25"/>
      <c r="R21" s="25"/>
      <c r="S21" s="61">
        <f>'2. Causa e Efeito'!E19</f>
        <v>0</v>
      </c>
      <c r="T21" s="53"/>
      <c r="U21" s="53"/>
      <c r="V21" s="53"/>
      <c r="W21" s="53"/>
      <c r="X21" s="53"/>
      <c r="Y21" s="54"/>
      <c r="Z21" s="26"/>
      <c r="AA21" s="26"/>
      <c r="AB21" s="26"/>
      <c r="AC21" s="26"/>
      <c r="AD21" s="26"/>
      <c r="AE21" s="26"/>
      <c r="AF21" s="61">
        <f>'2. Causa e Efeito'!H19</f>
        <v>0</v>
      </c>
      <c r="AG21" s="53"/>
      <c r="AH21" s="53"/>
      <c r="AI21" s="53"/>
      <c r="AJ21" s="53"/>
      <c r="AK21" s="53"/>
      <c r="AL21" s="54"/>
      <c r="AM21" s="24"/>
      <c r="AN21" s="24"/>
      <c r="AO21" s="24"/>
      <c r="AP21" s="24"/>
      <c r="AQ21" s="24"/>
      <c r="AR21" s="24"/>
      <c r="AS21" s="24"/>
      <c r="AT21" s="69"/>
      <c r="AU21" s="38"/>
      <c r="AV21" s="38"/>
      <c r="AW21" s="70"/>
    </row>
    <row r="22" spans="2:49" ht="16.5" customHeight="1">
      <c r="B22" s="25"/>
      <c r="C22" s="25"/>
      <c r="D22" s="25"/>
      <c r="E22" s="25"/>
      <c r="F22" s="55"/>
      <c r="G22" s="56"/>
      <c r="H22" s="56"/>
      <c r="I22" s="56"/>
      <c r="J22" s="56"/>
      <c r="K22" s="56"/>
      <c r="L22" s="57"/>
      <c r="M22" s="25"/>
      <c r="N22" s="25"/>
      <c r="O22" s="25"/>
      <c r="P22" s="25"/>
      <c r="Q22" s="25"/>
      <c r="R22" s="25"/>
      <c r="S22" s="55"/>
      <c r="T22" s="56"/>
      <c r="U22" s="56"/>
      <c r="V22" s="56"/>
      <c r="W22" s="56"/>
      <c r="X22" s="56"/>
      <c r="Y22" s="57"/>
      <c r="Z22" s="28"/>
      <c r="AA22" s="28"/>
      <c r="AB22" s="26"/>
      <c r="AC22" s="26"/>
      <c r="AD22" s="26"/>
      <c r="AE22" s="26"/>
      <c r="AF22" s="55"/>
      <c r="AG22" s="56"/>
      <c r="AH22" s="56"/>
      <c r="AI22" s="56"/>
      <c r="AJ22" s="56"/>
      <c r="AK22" s="56"/>
      <c r="AL22" s="57"/>
      <c r="AM22" s="31"/>
      <c r="AN22" s="31"/>
      <c r="AO22" s="24"/>
      <c r="AP22" s="24"/>
      <c r="AQ22" s="24"/>
      <c r="AR22" s="24"/>
      <c r="AS22" s="24"/>
      <c r="AT22" s="55"/>
      <c r="AU22" s="56"/>
      <c r="AV22" s="56"/>
      <c r="AW22" s="57"/>
    </row>
    <row r="23" spans="2:49" ht="16.5" customHeight="1">
      <c r="B23" s="26"/>
      <c r="C23" s="26"/>
      <c r="D23" s="26"/>
      <c r="E23" s="26"/>
      <c r="F23" s="26"/>
      <c r="G23" s="26"/>
      <c r="H23" s="25"/>
      <c r="I23" s="25"/>
      <c r="J23" s="25"/>
      <c r="K23" s="25"/>
      <c r="L23" s="25"/>
      <c r="M23" s="25"/>
      <c r="N23" s="25"/>
      <c r="O23" s="26"/>
      <c r="P23" s="26"/>
      <c r="Q23" s="26"/>
      <c r="R23" s="26"/>
      <c r="S23" s="26"/>
      <c r="T23" s="26"/>
      <c r="U23" s="28"/>
      <c r="V23" s="28"/>
      <c r="W23" s="28"/>
      <c r="X23" s="28"/>
      <c r="Y23" s="28"/>
      <c r="Z23" s="28"/>
      <c r="AA23" s="28"/>
      <c r="AB23" s="26"/>
      <c r="AC23" s="26"/>
      <c r="AD23" s="26"/>
      <c r="AE23" s="26"/>
      <c r="AF23" s="26"/>
      <c r="AG23" s="26"/>
      <c r="AH23" s="28"/>
      <c r="AI23" s="28"/>
      <c r="AJ23" s="28"/>
      <c r="AK23" s="28"/>
      <c r="AL23" s="28"/>
      <c r="AM23" s="31"/>
      <c r="AN23" s="31"/>
      <c r="AO23" s="24"/>
      <c r="AP23" s="24"/>
      <c r="AQ23" s="24"/>
      <c r="AR23" s="24"/>
      <c r="AS23" s="24"/>
      <c r="AT23" s="24"/>
      <c r="AU23" s="24"/>
      <c r="AV23" s="24"/>
      <c r="AW23" s="24"/>
    </row>
    <row r="24" spans="2:49" ht="16.5" customHeight="1">
      <c r="B24" s="26"/>
      <c r="C24" s="25"/>
      <c r="D24" s="25"/>
      <c r="E24" s="61">
        <f>'2. Causa e Efeito'!B20</f>
        <v>0</v>
      </c>
      <c r="F24" s="53"/>
      <c r="G24" s="53"/>
      <c r="H24" s="53"/>
      <c r="I24" s="53"/>
      <c r="J24" s="53"/>
      <c r="K24" s="54"/>
      <c r="L24" s="28"/>
      <c r="M24" s="28"/>
      <c r="N24" s="28"/>
      <c r="O24" s="28"/>
      <c r="P24" s="28"/>
      <c r="Q24" s="28"/>
      <c r="R24" s="61">
        <f>'2. Causa e Efeito'!E20</f>
        <v>0</v>
      </c>
      <c r="S24" s="53"/>
      <c r="T24" s="53"/>
      <c r="U24" s="53"/>
      <c r="V24" s="53"/>
      <c r="W24" s="53"/>
      <c r="X24" s="54"/>
      <c r="Y24" s="26"/>
      <c r="Z24" s="26"/>
      <c r="AA24" s="26"/>
      <c r="AB24" s="26"/>
      <c r="AC24" s="26"/>
      <c r="AD24" s="26"/>
      <c r="AE24" s="61">
        <f>'2. Causa e Efeito'!H20</f>
        <v>0</v>
      </c>
      <c r="AF24" s="53"/>
      <c r="AG24" s="53"/>
      <c r="AH24" s="53"/>
      <c r="AI24" s="53"/>
      <c r="AJ24" s="53"/>
      <c r="AK24" s="54"/>
      <c r="AL24" s="26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</row>
    <row r="25" spans="2:49" ht="16.5" customHeight="1">
      <c r="B25" s="26"/>
      <c r="C25" s="25"/>
      <c r="D25" s="25"/>
      <c r="E25" s="55"/>
      <c r="F25" s="56"/>
      <c r="G25" s="56"/>
      <c r="H25" s="56"/>
      <c r="I25" s="56"/>
      <c r="J25" s="56"/>
      <c r="K25" s="57"/>
      <c r="L25" s="28"/>
      <c r="M25" s="28"/>
      <c r="N25" s="28"/>
      <c r="O25" s="28"/>
      <c r="P25" s="28"/>
      <c r="Q25" s="28"/>
      <c r="R25" s="55"/>
      <c r="S25" s="56"/>
      <c r="T25" s="56"/>
      <c r="U25" s="56"/>
      <c r="V25" s="56"/>
      <c r="W25" s="56"/>
      <c r="X25" s="57"/>
      <c r="Y25" s="28"/>
      <c r="Z25" s="28"/>
      <c r="AA25" s="26"/>
      <c r="AB25" s="26"/>
      <c r="AC25" s="26"/>
      <c r="AD25" s="26"/>
      <c r="AE25" s="55"/>
      <c r="AF25" s="56"/>
      <c r="AG25" s="56"/>
      <c r="AH25" s="56"/>
      <c r="AI25" s="56"/>
      <c r="AJ25" s="56"/>
      <c r="AK25" s="57"/>
      <c r="AL25" s="28"/>
      <c r="AM25" s="31"/>
      <c r="AN25" s="24"/>
      <c r="AO25" s="24"/>
      <c r="AP25" s="24"/>
      <c r="AQ25" s="24"/>
      <c r="AR25" s="24"/>
      <c r="AS25" s="24"/>
      <c r="AT25" s="24"/>
      <c r="AU25" s="24"/>
      <c r="AV25" s="24"/>
      <c r="AW25" s="24"/>
    </row>
    <row r="26" spans="2:49" ht="16.5" customHeight="1">
      <c r="B26" s="26"/>
      <c r="C26" s="26"/>
      <c r="D26" s="26"/>
      <c r="E26" s="26"/>
      <c r="F26" s="26"/>
      <c r="G26" s="25"/>
      <c r="H26" s="25"/>
      <c r="I26" s="25"/>
      <c r="J26" s="25"/>
      <c r="K26" s="25"/>
      <c r="L26" s="25"/>
      <c r="M26" s="25"/>
      <c r="N26" s="26"/>
      <c r="O26" s="26"/>
      <c r="P26" s="26"/>
      <c r="Q26" s="26"/>
      <c r="R26" s="26"/>
      <c r="S26" s="26"/>
      <c r="T26" s="28"/>
      <c r="U26" s="28"/>
      <c r="V26" s="28"/>
      <c r="W26" s="28"/>
      <c r="X26" s="28"/>
      <c r="Y26" s="28"/>
      <c r="Z26" s="28"/>
      <c r="AA26" s="26"/>
      <c r="AB26" s="26"/>
      <c r="AC26" s="26"/>
      <c r="AD26" s="26"/>
      <c r="AE26" s="26"/>
      <c r="AF26" s="26"/>
      <c r="AG26" s="28"/>
      <c r="AH26" s="28"/>
      <c r="AI26" s="28"/>
      <c r="AJ26" s="28"/>
      <c r="AK26" s="28"/>
      <c r="AL26" s="28"/>
      <c r="AM26" s="31"/>
      <c r="AN26" s="24"/>
      <c r="AO26" s="24"/>
      <c r="AP26" s="24"/>
      <c r="AQ26" s="24"/>
      <c r="AR26" s="24"/>
      <c r="AS26" s="24"/>
      <c r="AT26" s="24"/>
      <c r="AU26" s="24"/>
      <c r="AV26" s="24"/>
      <c r="AW26" s="24"/>
    </row>
    <row r="27" spans="2:49" ht="16.5" customHeight="1">
      <c r="B27" s="26"/>
      <c r="C27" s="26"/>
      <c r="D27" s="61">
        <f>'2. Causa e Efeito'!B21</f>
        <v>0</v>
      </c>
      <c r="E27" s="53"/>
      <c r="F27" s="53"/>
      <c r="G27" s="53"/>
      <c r="H27" s="53"/>
      <c r="I27" s="53"/>
      <c r="J27" s="54"/>
      <c r="K27" s="26"/>
      <c r="L27" s="26"/>
      <c r="M27" s="26"/>
      <c r="N27" s="26"/>
      <c r="O27" s="26"/>
      <c r="P27" s="26"/>
      <c r="Q27" s="61">
        <f>'2. Causa e Efeito'!E21</f>
        <v>0</v>
      </c>
      <c r="R27" s="53"/>
      <c r="S27" s="53"/>
      <c r="T27" s="53"/>
      <c r="U27" s="53"/>
      <c r="V27" s="53"/>
      <c r="W27" s="54"/>
      <c r="X27" s="26"/>
      <c r="Y27" s="26"/>
      <c r="Z27" s="26"/>
      <c r="AA27" s="26"/>
      <c r="AB27" s="26"/>
      <c r="AC27" s="26"/>
      <c r="AD27" s="61">
        <f>'2. Causa e Efeito'!H21</f>
        <v>0</v>
      </c>
      <c r="AE27" s="53"/>
      <c r="AF27" s="53"/>
      <c r="AG27" s="53"/>
      <c r="AH27" s="53"/>
      <c r="AI27" s="53"/>
      <c r="AJ27" s="54"/>
      <c r="AK27" s="26"/>
      <c r="AL27" s="26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</row>
    <row r="28" spans="2:49" ht="16.5" customHeight="1">
      <c r="B28" s="26"/>
      <c r="C28" s="26"/>
      <c r="D28" s="55"/>
      <c r="E28" s="56"/>
      <c r="F28" s="56"/>
      <c r="G28" s="56"/>
      <c r="H28" s="56"/>
      <c r="I28" s="56"/>
      <c r="J28" s="57"/>
      <c r="K28" s="25"/>
      <c r="L28" s="25"/>
      <c r="M28" s="26"/>
      <c r="N28" s="26"/>
      <c r="O28" s="26"/>
      <c r="P28" s="26"/>
      <c r="Q28" s="55"/>
      <c r="R28" s="56"/>
      <c r="S28" s="56"/>
      <c r="T28" s="56"/>
      <c r="U28" s="56"/>
      <c r="V28" s="56"/>
      <c r="W28" s="57"/>
      <c r="X28" s="28"/>
      <c r="Y28" s="28"/>
      <c r="Z28" s="26"/>
      <c r="AA28" s="26"/>
      <c r="AB28" s="26"/>
      <c r="AC28" s="26"/>
      <c r="AD28" s="55"/>
      <c r="AE28" s="56"/>
      <c r="AF28" s="56"/>
      <c r="AG28" s="56"/>
      <c r="AH28" s="56"/>
      <c r="AI28" s="56"/>
      <c r="AJ28" s="57"/>
      <c r="AK28" s="28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</row>
    <row r="29" spans="2:49" ht="16.5" customHeight="1">
      <c r="B29" s="26"/>
      <c r="C29" s="26"/>
      <c r="D29" s="28"/>
      <c r="E29" s="28"/>
      <c r="F29" s="28"/>
      <c r="G29" s="28"/>
      <c r="H29" s="28"/>
      <c r="I29" s="28"/>
      <c r="J29" s="28"/>
      <c r="K29" s="25"/>
      <c r="L29" s="25"/>
      <c r="M29" s="26"/>
      <c r="N29" s="26"/>
      <c r="O29" s="26"/>
      <c r="P29" s="26"/>
      <c r="Q29" s="26"/>
      <c r="R29" s="26"/>
      <c r="S29" s="28"/>
      <c r="T29" s="28"/>
      <c r="U29" s="28"/>
      <c r="V29" s="28"/>
      <c r="W29" s="28"/>
      <c r="X29" s="28"/>
      <c r="Y29" s="28"/>
      <c r="Z29" s="26"/>
      <c r="AA29" s="26"/>
      <c r="AB29" s="26"/>
      <c r="AC29" s="26"/>
      <c r="AD29" s="26"/>
      <c r="AE29" s="26"/>
      <c r="AF29" s="28"/>
      <c r="AG29" s="28"/>
      <c r="AH29" s="28"/>
      <c r="AI29" s="28"/>
      <c r="AJ29" s="28"/>
      <c r="AK29" s="28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</row>
    <row r="30" spans="2:49" ht="16.5" customHeight="1">
      <c r="B30" s="26"/>
      <c r="C30" s="61">
        <f>'2. Causa e Efeito'!B22</f>
        <v>0</v>
      </c>
      <c r="D30" s="53"/>
      <c r="E30" s="53"/>
      <c r="F30" s="53"/>
      <c r="G30" s="53"/>
      <c r="H30" s="53"/>
      <c r="I30" s="54"/>
      <c r="J30" s="28"/>
      <c r="K30" s="25"/>
      <c r="L30" s="25"/>
      <c r="M30" s="26"/>
      <c r="N30" s="26"/>
      <c r="O30" s="26"/>
      <c r="P30" s="61">
        <f>'2. Causa e Efeito'!E22</f>
        <v>0</v>
      </c>
      <c r="Q30" s="53"/>
      <c r="R30" s="53"/>
      <c r="S30" s="53"/>
      <c r="T30" s="53"/>
      <c r="U30" s="53"/>
      <c r="V30" s="54"/>
      <c r="W30" s="28"/>
      <c r="X30" s="28"/>
      <c r="Y30" s="28"/>
      <c r="Z30" s="26"/>
      <c r="AA30" s="26"/>
      <c r="AB30" s="26"/>
      <c r="AC30" s="61">
        <f>'2. Causa e Efeito'!H22</f>
        <v>0</v>
      </c>
      <c r="AD30" s="53"/>
      <c r="AE30" s="53"/>
      <c r="AF30" s="53"/>
      <c r="AG30" s="53"/>
      <c r="AH30" s="53"/>
      <c r="AI30" s="54"/>
      <c r="AJ30" s="28"/>
      <c r="AK30" s="28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</row>
    <row r="31" spans="2:49" ht="16.5" customHeight="1">
      <c r="B31" s="26"/>
      <c r="C31" s="55"/>
      <c r="D31" s="56"/>
      <c r="E31" s="56"/>
      <c r="F31" s="56"/>
      <c r="G31" s="56"/>
      <c r="H31" s="56"/>
      <c r="I31" s="57"/>
      <c r="J31" s="25"/>
      <c r="K31" s="25"/>
      <c r="L31" s="25"/>
      <c r="M31" s="26"/>
      <c r="N31" s="26"/>
      <c r="O31" s="26"/>
      <c r="P31" s="55"/>
      <c r="Q31" s="56"/>
      <c r="R31" s="56"/>
      <c r="S31" s="56"/>
      <c r="T31" s="56"/>
      <c r="U31" s="56"/>
      <c r="V31" s="57"/>
      <c r="W31" s="28"/>
      <c r="X31" s="28"/>
      <c r="Y31" s="28"/>
      <c r="Z31" s="26"/>
      <c r="AA31" s="26"/>
      <c r="AB31" s="26"/>
      <c r="AC31" s="55"/>
      <c r="AD31" s="56"/>
      <c r="AE31" s="56"/>
      <c r="AF31" s="56"/>
      <c r="AG31" s="56"/>
      <c r="AH31" s="56"/>
      <c r="AI31" s="57"/>
      <c r="AJ31" s="28"/>
      <c r="AK31" s="28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</row>
    <row r="32" spans="2:49" ht="16.5" customHeight="1">
      <c r="B32" s="26"/>
      <c r="C32" s="26"/>
      <c r="D32" s="26"/>
      <c r="E32" s="26"/>
      <c r="F32" s="25"/>
      <c r="G32" s="25"/>
      <c r="H32" s="25"/>
      <c r="I32" s="25"/>
      <c r="J32" s="25"/>
      <c r="K32" s="25"/>
      <c r="L32" s="25"/>
      <c r="M32" s="26"/>
      <c r="N32" s="26"/>
      <c r="O32" s="26"/>
      <c r="P32" s="26"/>
      <c r="Q32" s="26"/>
      <c r="R32" s="26"/>
      <c r="S32" s="28"/>
      <c r="T32" s="28"/>
      <c r="U32" s="28"/>
      <c r="V32" s="28"/>
      <c r="W32" s="28"/>
      <c r="X32" s="28"/>
      <c r="Y32" s="28"/>
      <c r="Z32" s="26"/>
      <c r="AA32" s="26"/>
      <c r="AB32" s="26"/>
      <c r="AC32" s="26"/>
      <c r="AD32" s="26"/>
      <c r="AE32" s="26"/>
      <c r="AF32" s="28"/>
      <c r="AG32" s="28"/>
      <c r="AH32" s="28"/>
      <c r="AI32" s="28"/>
      <c r="AJ32" s="28"/>
      <c r="AK32" s="28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</row>
    <row r="33" spans="2:49" ht="15.75" customHeight="1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</row>
    <row r="34" spans="2:49" ht="23.25" customHeight="1">
      <c r="B34" s="71" t="s">
        <v>24</v>
      </c>
      <c r="C34" s="38"/>
      <c r="D34" s="38"/>
      <c r="E34" s="38"/>
      <c r="F34" s="38"/>
      <c r="G34" s="38"/>
      <c r="H34" s="32"/>
      <c r="I34" s="32"/>
      <c r="J34" s="32"/>
      <c r="K34" s="32"/>
      <c r="L34" s="32"/>
      <c r="M34" s="32"/>
      <c r="N34" s="71" t="s">
        <v>25</v>
      </c>
      <c r="O34" s="38"/>
      <c r="P34" s="38"/>
      <c r="Q34" s="38"/>
      <c r="R34" s="38"/>
      <c r="S34" s="38"/>
      <c r="T34" s="38"/>
      <c r="U34" s="38"/>
      <c r="V34" s="32"/>
      <c r="W34" s="32"/>
      <c r="X34" s="32"/>
      <c r="Y34" s="32"/>
      <c r="Z34" s="32"/>
      <c r="AA34" s="32"/>
      <c r="AB34" s="71" t="s">
        <v>26</v>
      </c>
      <c r="AC34" s="38"/>
      <c r="AD34" s="38"/>
      <c r="AE34" s="38"/>
      <c r="AF34" s="38"/>
      <c r="AG34" s="38"/>
      <c r="AH34" s="23"/>
      <c r="AI34" s="23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</row>
    <row r="35" spans="2:49" ht="15.75" customHeight="1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</row>
    <row r="36" spans="2:49" ht="15.75" customHeight="1"/>
    <row r="37" spans="2:49" ht="15.75" customHeight="1"/>
    <row r="38" spans="2:49" ht="15.75" customHeight="1"/>
    <row r="39" spans="2:49" ht="15.75" customHeight="1"/>
    <row r="40" spans="2:49" ht="15.75" customHeight="1"/>
    <row r="41" spans="2:49" ht="15.75" customHeight="1"/>
    <row r="42" spans="2:49" ht="15.75" customHeight="1"/>
    <row r="43" spans="2:49" ht="15.75" customHeight="1"/>
    <row r="44" spans="2:49" ht="15.75" customHeight="1"/>
    <row r="45" spans="2:49" ht="15.75" customHeight="1"/>
    <row r="46" spans="2:49" ht="15.75" customHeight="1"/>
    <row r="47" spans="2:49" ht="15.75" customHeight="1"/>
    <row r="48" spans="2:4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AC30:AI31"/>
    <mergeCell ref="B34:G34"/>
    <mergeCell ref="N34:U34"/>
    <mergeCell ref="AB34:AG34"/>
    <mergeCell ref="E24:K25"/>
    <mergeCell ref="R24:X25"/>
    <mergeCell ref="AE24:AK25"/>
    <mergeCell ref="D27:J28"/>
    <mergeCell ref="Q27:W28"/>
    <mergeCell ref="AD27:AJ28"/>
    <mergeCell ref="C30:I31"/>
    <mergeCell ref="E17:K18"/>
    <mergeCell ref="R17:X18"/>
    <mergeCell ref="F21:L22"/>
    <mergeCell ref="S21:Y22"/>
    <mergeCell ref="P30:V31"/>
    <mergeCell ref="C11:I12"/>
    <mergeCell ref="O11:U12"/>
    <mergeCell ref="D14:J15"/>
    <mergeCell ref="Q14:W15"/>
    <mergeCell ref="AE14:AK15"/>
    <mergeCell ref="B6:F6"/>
    <mergeCell ref="O6:Q6"/>
    <mergeCell ref="B8:H9"/>
    <mergeCell ref="M8:S9"/>
    <mergeCell ref="AA8:AG9"/>
    <mergeCell ref="AC11:AI12"/>
    <mergeCell ref="AT12:AW13"/>
    <mergeCell ref="AT15:AW22"/>
    <mergeCell ref="AF17:AL18"/>
    <mergeCell ref="AF21:AL22"/>
    <mergeCell ref="AA4:AG4"/>
    <mergeCell ref="AH4:AM4"/>
    <mergeCell ref="AN4:AO4"/>
    <mergeCell ref="AR4:AS4"/>
    <mergeCell ref="B2:E2"/>
    <mergeCell ref="C3:I3"/>
    <mergeCell ref="K3:AH3"/>
    <mergeCell ref="B4:F4"/>
    <mergeCell ref="G4:L4"/>
    <mergeCell ref="M4:R4"/>
    <mergeCell ref="S4:Z4"/>
  </mergeCells>
  <conditionalFormatting sqref="C30:I31 D27:J28 E24:K25 F21:L22 E17:K18 D14:J15 C11:I12 B8:H9 M8:S9 O11:U12 Q14:W15 R17:X18 S21:Y22 R24:X25 Q27:W28 P30:V31 AC30:AI31 AD27:AJ28 AE24:AK25 AF21:AL22 AF17:AL18 AE14:AK15 AC11:AI12 AA8:AG9 AT15:AW22">
    <cfRule type="cellIs" dxfId="0" priority="1" operator="equal">
      <formula>0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/>
  <cols>
    <col min="1" max="1" width="8.85546875" customWidth="1"/>
    <col min="2" max="2" width="20.85546875" customWidth="1"/>
    <col min="3" max="3" width="8.85546875" customWidth="1"/>
    <col min="4" max="4" width="12.28515625" customWidth="1"/>
    <col min="5" max="5" width="8.85546875" customWidth="1"/>
    <col min="6" max="6" width="14.28515625" customWidth="1"/>
    <col min="7" max="7" width="8.85546875" customWidth="1"/>
    <col min="8" max="8" width="23.7109375" customWidth="1"/>
    <col min="9" max="9" width="8.85546875" customWidth="1"/>
    <col min="10" max="10" width="15.28515625" customWidth="1"/>
    <col min="11" max="11" width="8.85546875" customWidth="1"/>
    <col min="12" max="12" width="16" customWidth="1"/>
    <col min="13" max="16" width="8.85546875" customWidth="1"/>
    <col min="17" max="26" width="8" customWidth="1"/>
  </cols>
  <sheetData>
    <row r="1" spans="1:26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/>
      <c r="B2" s="1" t="s">
        <v>0</v>
      </c>
      <c r="C2" s="37"/>
      <c r="D2" s="3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5.5" customHeight="1">
      <c r="A3" s="1"/>
      <c r="B3" s="1"/>
      <c r="C3" s="39" t="s">
        <v>1</v>
      </c>
      <c r="D3" s="40"/>
      <c r="E3" s="40"/>
      <c r="F3" s="40"/>
      <c r="G3" s="40"/>
      <c r="H3" s="40"/>
      <c r="I3" s="40"/>
      <c r="J3" s="40"/>
      <c r="K3" s="40"/>
      <c r="L3" s="4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3"/>
      <c r="B4" s="4" t="s">
        <v>2</v>
      </c>
      <c r="C4" s="43" t="s">
        <v>3</v>
      </c>
      <c r="D4" s="41"/>
      <c r="E4" s="43" t="s">
        <v>4</v>
      </c>
      <c r="F4" s="44"/>
      <c r="G4" s="43" t="s">
        <v>5</v>
      </c>
      <c r="H4" s="44"/>
      <c r="I4" s="42" t="s">
        <v>6</v>
      </c>
      <c r="J4" s="44"/>
      <c r="K4" s="43" t="s">
        <v>7</v>
      </c>
      <c r="L4" s="44"/>
      <c r="M4" s="3"/>
      <c r="N4" s="3"/>
      <c r="O4" s="3"/>
      <c r="P4" s="3"/>
      <c r="Q4" s="5"/>
      <c r="R4" s="5"/>
      <c r="S4" s="5"/>
      <c r="T4" s="5"/>
      <c r="U4" s="5"/>
      <c r="V4" s="5"/>
      <c r="W4" s="5"/>
      <c r="X4" s="5"/>
      <c r="Y4" s="5"/>
      <c r="Z4" s="5"/>
    </row>
    <row r="19" ht="21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4" ht="15.75" customHeight="1"/>
    <row r="50" spans="1:4" ht="15.75" customHeight="1"/>
    <row r="51" spans="1:4" ht="15.75" customHeight="1">
      <c r="A51" s="33"/>
      <c r="B51" s="33"/>
      <c r="C51" s="33"/>
      <c r="D51" s="33"/>
    </row>
    <row r="52" spans="1:4" ht="15.75" customHeight="1">
      <c r="A52" s="33"/>
      <c r="B52" s="33"/>
      <c r="C52" s="33" t="s">
        <v>27</v>
      </c>
      <c r="D52" s="33"/>
    </row>
    <row r="53" spans="1:4" ht="15.75" customHeight="1">
      <c r="A53" s="72" t="s">
        <v>28</v>
      </c>
      <c r="B53" s="38"/>
      <c r="C53" s="34" t="str">
        <f>'2. Causa e Efeito'!C15</f>
        <v/>
      </c>
      <c r="D53" s="33"/>
    </row>
    <row r="54" spans="1:4" ht="15.75" customHeight="1">
      <c r="A54" s="72" t="s">
        <v>21</v>
      </c>
      <c r="B54" s="38"/>
      <c r="C54" s="34" t="str">
        <f>'2. Causa e Efeito'!F15</f>
        <v/>
      </c>
      <c r="D54" s="33"/>
    </row>
    <row r="55" spans="1:4" ht="15.75" customHeight="1">
      <c r="A55" s="72" t="s">
        <v>22</v>
      </c>
      <c r="B55" s="38"/>
      <c r="C55" s="34" t="str">
        <f>'2. Causa e Efeito'!I15</f>
        <v/>
      </c>
      <c r="D55" s="33"/>
    </row>
    <row r="56" spans="1:4" ht="15.75" customHeight="1">
      <c r="A56" s="72" t="s">
        <v>24</v>
      </c>
      <c r="B56" s="38"/>
      <c r="C56" s="34" t="str">
        <f>'2. Causa e Efeito'!C23</f>
        <v/>
      </c>
      <c r="D56" s="33"/>
    </row>
    <row r="57" spans="1:4" ht="15.75" customHeight="1">
      <c r="A57" s="72" t="s">
        <v>29</v>
      </c>
      <c r="B57" s="38"/>
      <c r="C57" s="34" t="str">
        <f>'2. Causa e Efeito'!F23</f>
        <v/>
      </c>
      <c r="D57" s="33"/>
    </row>
    <row r="58" spans="1:4" ht="15.75" customHeight="1">
      <c r="A58" s="72" t="s">
        <v>26</v>
      </c>
      <c r="B58" s="38"/>
      <c r="C58" s="34" t="str">
        <f>'2. Causa e Efeito'!I23</f>
        <v/>
      </c>
      <c r="D58" s="33"/>
    </row>
    <row r="59" spans="1:4" ht="15.75" customHeight="1">
      <c r="A59" s="72" t="s">
        <v>15</v>
      </c>
      <c r="B59" s="38"/>
      <c r="C59" s="34" t="e">
        <f>MEDIAN(C53:C58)</f>
        <v>#NUM!</v>
      </c>
      <c r="D59" s="33"/>
    </row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8:B58"/>
    <mergeCell ref="A59:B59"/>
    <mergeCell ref="C2:D2"/>
    <mergeCell ref="C3:L3"/>
    <mergeCell ref="C4:D4"/>
    <mergeCell ref="E4:F4"/>
    <mergeCell ref="G4:H4"/>
    <mergeCell ref="I4:J4"/>
    <mergeCell ref="K4:L4"/>
    <mergeCell ref="A53:B53"/>
    <mergeCell ref="A54:B54"/>
    <mergeCell ref="A55:B55"/>
    <mergeCell ref="A56:B56"/>
    <mergeCell ref="A57:B57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/>
  <cols>
    <col min="1" max="1" width="5.42578125" customWidth="1"/>
    <col min="2" max="2" width="36.7109375" customWidth="1"/>
    <col min="3" max="3" width="3.85546875" customWidth="1"/>
    <col min="4" max="4" width="28.28515625" customWidth="1"/>
    <col min="5" max="17" width="16.42578125" customWidth="1"/>
    <col min="18" max="26" width="8" customWidth="1"/>
  </cols>
  <sheetData>
    <row r="1" spans="1:26" ht="9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"/>
      <c r="B2" s="1" t="s">
        <v>0</v>
      </c>
      <c r="C2" s="37"/>
      <c r="D2" s="3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5.5" customHeight="1">
      <c r="A3" s="1"/>
      <c r="B3" s="1"/>
      <c r="C3" s="39" t="s">
        <v>1</v>
      </c>
      <c r="D3" s="40"/>
      <c r="E3" s="40"/>
      <c r="F3" s="40"/>
      <c r="G3" s="40"/>
      <c r="H3" s="40"/>
      <c r="I3" s="41"/>
      <c r="J3" s="1"/>
      <c r="K3" s="1"/>
      <c r="L3" s="1"/>
      <c r="M3" s="1"/>
      <c r="N3" s="1"/>
      <c r="O3" s="1"/>
      <c r="P3" s="1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.75" customHeight="1">
      <c r="A4" s="3"/>
      <c r="B4" s="4" t="s">
        <v>2</v>
      </c>
      <c r="C4" s="43" t="s">
        <v>3</v>
      </c>
      <c r="D4" s="41"/>
      <c r="E4" s="43" t="s">
        <v>4</v>
      </c>
      <c r="F4" s="44"/>
      <c r="G4" s="43" t="s">
        <v>5</v>
      </c>
      <c r="H4" s="44"/>
      <c r="I4" s="43" t="s">
        <v>6</v>
      </c>
      <c r="J4" s="44"/>
      <c r="K4" s="42" t="s">
        <v>7</v>
      </c>
      <c r="L4" s="41"/>
      <c r="M4" s="3"/>
      <c r="N4" s="3"/>
      <c r="O4" s="3"/>
      <c r="P4" s="3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2"/>
      <c r="S6" s="2"/>
      <c r="T6" s="2"/>
      <c r="U6" s="2"/>
      <c r="V6" s="2"/>
      <c r="W6" s="2"/>
      <c r="X6" s="2"/>
      <c r="Y6" s="2"/>
      <c r="Z6" s="2"/>
    </row>
    <row r="7" spans="1:26" ht="27.75" customHeight="1">
      <c r="A7" s="6"/>
      <c r="B7" s="73" t="s">
        <v>30</v>
      </c>
      <c r="C7" s="40"/>
      <c r="D7" s="40"/>
      <c r="E7" s="40"/>
      <c r="F7" s="41"/>
      <c r="G7" s="74" t="s">
        <v>31</v>
      </c>
      <c r="H7" s="40"/>
      <c r="I7" s="40"/>
      <c r="J7" s="40"/>
      <c r="K7" s="40"/>
      <c r="L7" s="41"/>
      <c r="M7" s="6"/>
      <c r="N7" s="6"/>
      <c r="O7" s="6"/>
      <c r="P7" s="6"/>
      <c r="Q7" s="6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6"/>
      <c r="B8" s="75"/>
      <c r="C8" s="40"/>
      <c r="D8" s="40"/>
      <c r="E8" s="41"/>
      <c r="F8" s="6"/>
      <c r="G8" s="6"/>
      <c r="H8" s="76"/>
      <c r="I8" s="40"/>
      <c r="J8" s="40"/>
      <c r="K8" s="41"/>
      <c r="L8" s="6"/>
      <c r="M8" s="6"/>
      <c r="N8" s="6"/>
      <c r="O8" s="6"/>
      <c r="P8" s="6"/>
      <c r="Q8" s="6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6"/>
      <c r="B9" s="75"/>
      <c r="C9" s="40"/>
      <c r="D9" s="40"/>
      <c r="E9" s="41"/>
      <c r="F9" s="35"/>
      <c r="G9" s="6"/>
      <c r="H9" s="76"/>
      <c r="I9" s="40"/>
      <c r="J9" s="40"/>
      <c r="K9" s="41"/>
      <c r="L9" s="6"/>
      <c r="M9" s="6"/>
      <c r="N9" s="6"/>
      <c r="O9" s="6"/>
      <c r="P9" s="6"/>
      <c r="Q9" s="6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6"/>
      <c r="B10" s="2"/>
      <c r="C10" s="6"/>
      <c r="D10" s="6"/>
      <c r="E10" s="6"/>
      <c r="F10" s="6"/>
      <c r="G10" s="6"/>
      <c r="H10" s="76"/>
      <c r="I10" s="40"/>
      <c r="J10" s="40"/>
      <c r="K10" s="41"/>
      <c r="L10" s="6"/>
      <c r="M10" s="6"/>
      <c r="N10" s="6"/>
      <c r="O10" s="6"/>
      <c r="P10" s="6"/>
      <c r="Q10" s="6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6"/>
      <c r="B11" s="36"/>
      <c r="C11" s="6"/>
      <c r="D11" s="6"/>
      <c r="E11" s="6"/>
      <c r="F11" s="6"/>
      <c r="G11" s="6"/>
      <c r="H11" s="76"/>
      <c r="I11" s="40"/>
      <c r="J11" s="40"/>
      <c r="K11" s="41"/>
      <c r="L11" s="6"/>
      <c r="M11" s="6"/>
      <c r="N11" s="6"/>
      <c r="O11" s="6"/>
      <c r="P11" s="6"/>
      <c r="Q11" s="6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6"/>
      <c r="B12" s="6"/>
      <c r="C12" s="6"/>
      <c r="D12" s="2"/>
      <c r="E12" s="6"/>
      <c r="F12" s="6"/>
      <c r="G12" s="6"/>
      <c r="H12" s="76"/>
      <c r="I12" s="40"/>
      <c r="J12" s="40"/>
      <c r="K12" s="41"/>
      <c r="L12" s="6"/>
      <c r="M12" s="6"/>
      <c r="N12" s="6"/>
      <c r="O12" s="6"/>
      <c r="P12" s="6"/>
      <c r="Q12" s="6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6"/>
      <c r="B13" s="73"/>
      <c r="C13" s="40"/>
      <c r="D13" s="40"/>
      <c r="E13" s="40"/>
      <c r="F13" s="41"/>
      <c r="G13" s="6"/>
      <c r="H13" s="36"/>
      <c r="I13" s="36"/>
      <c r="J13" s="36"/>
      <c r="K13" s="36"/>
      <c r="L13" s="6"/>
      <c r="M13" s="6"/>
      <c r="N13" s="6"/>
      <c r="O13" s="6"/>
      <c r="P13" s="6"/>
      <c r="Q13" s="6"/>
      <c r="R13" s="2"/>
      <c r="S13" s="2"/>
      <c r="T13" s="2"/>
      <c r="U13" s="2"/>
      <c r="V13" s="2"/>
      <c r="W13" s="2"/>
      <c r="X13" s="2"/>
      <c r="Y13" s="2"/>
      <c r="Z13" s="2"/>
    </row>
    <row r="14" spans="1:26" ht="27" customHeight="1">
      <c r="A14" s="6"/>
      <c r="B14" s="73" t="s">
        <v>32</v>
      </c>
      <c r="C14" s="40"/>
      <c r="D14" s="40"/>
      <c r="E14" s="40"/>
      <c r="F14" s="41"/>
      <c r="G14" s="6"/>
      <c r="H14" s="36"/>
      <c r="I14" s="36"/>
      <c r="J14" s="36"/>
      <c r="K14" s="36"/>
      <c r="L14" s="6"/>
      <c r="M14" s="6"/>
      <c r="N14" s="6"/>
      <c r="O14" s="6"/>
      <c r="P14" s="6"/>
      <c r="Q14" s="6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6"/>
      <c r="B15" s="6"/>
      <c r="C15" s="6"/>
      <c r="D15" s="6"/>
      <c r="E15" s="6"/>
      <c r="F15" s="6"/>
      <c r="G15" s="6"/>
      <c r="H15" s="76"/>
      <c r="I15" s="40"/>
      <c r="J15" s="40"/>
      <c r="K15" s="41"/>
      <c r="L15" s="6"/>
      <c r="M15" s="6"/>
      <c r="N15" s="6"/>
      <c r="O15" s="6"/>
      <c r="P15" s="6"/>
      <c r="Q15" s="6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6"/>
      <c r="B16" s="6"/>
      <c r="C16" s="6"/>
      <c r="D16" s="6"/>
      <c r="E16" s="6"/>
      <c r="F16" s="6"/>
      <c r="G16" s="6"/>
      <c r="H16" s="76"/>
      <c r="I16" s="40"/>
      <c r="J16" s="40"/>
      <c r="K16" s="41"/>
      <c r="L16" s="6"/>
      <c r="M16" s="6"/>
      <c r="N16" s="6"/>
      <c r="O16" s="6"/>
      <c r="P16" s="6"/>
      <c r="Q16" s="6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6"/>
      <c r="B17" s="6"/>
      <c r="C17" s="6"/>
      <c r="D17" s="6"/>
      <c r="E17" s="6"/>
      <c r="F17" s="6"/>
      <c r="G17" s="6"/>
      <c r="H17" s="76"/>
      <c r="I17" s="40"/>
      <c r="J17" s="40"/>
      <c r="K17" s="41"/>
      <c r="L17" s="6"/>
      <c r="M17" s="6"/>
      <c r="N17" s="6"/>
      <c r="O17" s="6"/>
      <c r="P17" s="6"/>
      <c r="Q17" s="6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6"/>
      <c r="B18" s="6"/>
      <c r="C18" s="6"/>
      <c r="D18" s="6"/>
      <c r="E18" s="6"/>
      <c r="F18" s="6"/>
      <c r="G18" s="6"/>
      <c r="H18" s="76"/>
      <c r="I18" s="40"/>
      <c r="J18" s="40"/>
      <c r="K18" s="41"/>
      <c r="L18" s="6"/>
      <c r="M18" s="6"/>
      <c r="N18" s="6"/>
      <c r="O18" s="6"/>
      <c r="P18" s="6"/>
      <c r="Q18" s="6"/>
      <c r="R18" s="2"/>
      <c r="S18" s="2"/>
      <c r="T18" s="2"/>
      <c r="U18" s="2"/>
      <c r="V18" s="2"/>
      <c r="W18" s="2"/>
      <c r="X18" s="2"/>
      <c r="Y18" s="2"/>
      <c r="Z18" s="2"/>
    </row>
    <row r="19" spans="1:26" ht="24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2"/>
      <c r="S19" s="2"/>
      <c r="T19" s="2"/>
      <c r="U19" s="2"/>
      <c r="V19" s="2"/>
      <c r="W19" s="2"/>
      <c r="X19" s="2"/>
      <c r="Y19" s="2"/>
      <c r="Z19" s="2"/>
    </row>
    <row r="20" spans="1:26" ht="28.5" customHeight="1">
      <c r="A20" s="6"/>
      <c r="B20" s="77" t="s">
        <v>33</v>
      </c>
      <c r="C20" s="40"/>
      <c r="D20" s="40"/>
      <c r="E20" s="40"/>
      <c r="F20" s="41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3">
    <mergeCell ref="B9:E9"/>
    <mergeCell ref="H9:K9"/>
    <mergeCell ref="H10:K10"/>
    <mergeCell ref="H18:K18"/>
    <mergeCell ref="B20:F20"/>
    <mergeCell ref="H11:K11"/>
    <mergeCell ref="H12:K12"/>
    <mergeCell ref="B13:F13"/>
    <mergeCell ref="B14:F14"/>
    <mergeCell ref="H15:K15"/>
    <mergeCell ref="H16:K16"/>
    <mergeCell ref="H17:K17"/>
    <mergeCell ref="K4:L4"/>
    <mergeCell ref="B7:F7"/>
    <mergeCell ref="G7:L7"/>
    <mergeCell ref="B8:E8"/>
    <mergeCell ref="H8:K8"/>
    <mergeCell ref="C2:D2"/>
    <mergeCell ref="C3:I3"/>
    <mergeCell ref="C4:D4"/>
    <mergeCell ref="E4:F4"/>
    <mergeCell ref="G4:H4"/>
    <mergeCell ref="I4:J4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1. Início</vt:lpstr>
      <vt:lpstr>2. Causa e Efeito</vt:lpstr>
      <vt:lpstr>3. Diagrama Espinha de Peixe </vt:lpstr>
      <vt:lpstr>4. Análise Gráfica</vt:lpstr>
      <vt:lpstr>5. Saiba Mais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Ronaldo</dc:creator>
  <cp:lastModifiedBy>Aluno</cp:lastModifiedBy>
  <dcterms:created xsi:type="dcterms:W3CDTF">2013-12-16T17:36:37Z</dcterms:created>
  <dcterms:modified xsi:type="dcterms:W3CDTF">2022-07-23T19:28:58Z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TC019926229991</vt:lpwstr>
  </property>
</Properties>
</file>